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gent Roster" sheetId="2" state="visible" r:id="rId4"/>
    <sheet name="Responsibilities" sheetId="3" state="visible" r:id="rId5"/>
    <sheet name="Algorithm Coverage" sheetId="4" state="visible" r:id="rId6"/>
    <sheet name="Canon Element Coverage" sheetId="5" state="visible" r:id="rId7"/>
    <sheet name="BEAS Accountability" sheetId="6" state="visible" r:id="rId8"/>
    <sheet name="Workflows" sheetId="7" state="visible" r:id="rId9"/>
    <sheet name="Human Gates" sheetId="8" state="visible" r:id="rId10"/>
    <sheet name="Held-Open Variables" sheetId="9" state="visible" r:id="rId11"/>
    <sheet name="Gap Check" sheetId="10" state="visible" r:id="rId12"/>
  </sheets>
  <definedNames>
    <definedName function="false" hidden="true" localSheetId="1" name="_xlnm._FilterDatabase" vbProcedure="false">'Agent Roster'!$A$1:$T$1</definedName>
    <definedName function="false" hidden="true" localSheetId="3" name="_xlnm._FilterDatabase" vbProcedure="false">'Algorithm Coverage'!$A$1:$J$1</definedName>
    <definedName function="false" hidden="true" localSheetId="4" name="_xlnm._FilterDatabase" vbProcedure="false">'Canon Element Coverage'!$A$1:$G$1</definedName>
    <definedName function="false" hidden="true" localSheetId="8" name="_xlnm._FilterDatabase" vbProcedure="false">'Held-Open Variables'!$A$1:$E$1</definedName>
    <definedName function="false" hidden="true" localSheetId="7" name="_xlnm._FilterDatabase" vbProcedure="false">'Human Gates'!$A$1:$F$1</definedName>
    <definedName function="false" hidden="true" localSheetId="2" name="_xlnm._FilterDatabase" vbProcedure="false">Responsibilities!$A$1:$O$1</definedName>
    <definedName function="false" hidden="true" localSheetId="6" name="_xlnm._FilterDatabase" vbProcedure="false">Workflows!$A$1:$G$1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<sst xmlns="http://schemas.openxmlformats.org/spreadsheetml/2006/main" count="16236" uniqueCount="5005">
  <si>
    <t xml:space="preserve">GFunnel Agent Org Map — Task-Specific Agents for a Business Operation</t>
  </si>
  <si>
    <t xml:space="preserve">What this is</t>
  </si>
  <si>
    <t xml:space="preserve">Every role and every responsibility needed to run a business on the GFunnel Methodology (Omni Process), decomposed into task-specific AI agents (plus the human gates they must escalate to).</t>
  </si>
  <si>
    <t xml:space="preserve">Status</t>
  </si>
  <si>
    <t xml:space="preserve">DERIVATION — not canon. Built under AGENTS.md rules 4 &amp; 7: the roles are derived from canon; nothing here is a primary algorithm of the methodology, and nothing here changes the base code DETECT → PROCESS → RESPOND.</t>
  </si>
  <si>
    <t xml:space="preserve">Sources read</t>
  </si>
  <si>
    <t xml:space="preserve">v5.1 (full operational sections: Layers IV–VII, ◇, Master Meta-Algorithm, all per-layer, domain and extended algorithms, self-audit, cannot-supply), v5.2 (Deep-Lens protocol; Runs 4–5), v5.3 (Meta-Tier ⊙). v5.4 deliberately excluded: its constructs are not business operations and it states zero novel predictions.</t>
  </si>
  <si>
    <t xml:space="preserve">How it was built</t>
  </si>
  <si>
    <t xml:space="preserve">build_agent_map.py parses all 77 algorithms (662 numbered steps) straight from versions/v5.1 so each step becomes an owned responsibility; operational tables (pipeline, script, I.A.C.E., Immersion, BEAS, Five Modes, pillars, self-audit, Forcing Test, Deep-Lens) were transcribed row by row. Re-run the script to regenerate.</t>
  </si>
  <si>
    <t xml:space="preserve">Tabs</t>
  </si>
  <si>
    <t xml:space="preserve">Agent Roster — every agent with mission, DETECT/PROCESS/RESPOND, hand-offs, tools named in canon, KPIs, human gate, autonomy, source.
Responsibilities — every atomic responsibility, one row each, with owner, source line, cadence, trigger, output, hand-off.
Algorithm Coverage — all 77 algorithms → owner, status, steps mapped vs steps in canon.
Canon Element Coverage — every operational table row → mapped responsibility.
BEAS Accountability — 45-cell scoring tool with the accountable agent per cell.
Workflows — 15 end-to-end hand-off chains.
Human Gates — what agents must never decide.
Held-Open Variables — what canon does not supply (never filled with assumption).
Gap Check — live formulas proving no responsibility is unowned and no agent is idle.</t>
  </si>
  <si>
    <t xml:space="preserve">Tiers</t>
  </si>
  <si>
    <t xml:space="preserve">0 · Human authority / Governance (meta-tier)  ·  1 · Orchestration &amp; diagnostics  ·  2 · Department leads (the Nine Hubs)  ·  3 · Task agents</t>
  </si>
  <si>
    <t xml:space="preserve">Autonomy codes (derived)</t>
  </si>
  <si>
    <t xml:space="preserve">A = Autonomous — agent executes and logs
H = Human-in-loop — agent drafts, human approves
L = Human-led — agent assists
R = Human-reserved — no agent executes</t>
  </si>
  <si>
    <t xml:space="preserve">Status labels</t>
  </si>
  <si>
    <t xml:space="preserve">Canon algorithm step / Canon table = transcribed from canon · Derived = placement or charter chosen for this map · Human-reserved = no agent executes · Held open = canon does not supply the value.</t>
  </si>
  <si>
    <t xml:space="preserve">Editable cells</t>
  </si>
  <si>
    <t xml:space="preserve">Yellow cells on 'BEAS Accountability' are inputs (0, 0.5 or 1; coordination 0–1). Everything else is reference; totals and checks are formulas.</t>
  </si>
  <si>
    <t xml:space="preserve">Attribution (CC BY 4.0)</t>
  </si>
  <si>
    <t xml:space="preserve">Source: GFunnel Methodology (Omni Process) v5.1–v5.3, Cameron Garlick / GFunnel, https://github.com/GFunnel-Tech/methodology, CC BY 4.0. This workbook adapts (restructures) the material into an agent org map; the adaptation is not endorsed by the author.</t>
  </si>
  <si>
    <t xml:space="preserve">Live totals</t>
  </si>
  <si>
    <t xml:space="preserve">Agents</t>
  </si>
  <si>
    <t xml:space="preserve">Responsibilities</t>
  </si>
  <si>
    <t xml:space="preserve">Algorithms covered</t>
  </si>
  <si>
    <t xml:space="preserve">Canon elements covered</t>
  </si>
  <si>
    <t xml:space="preserve">Gap Check status</t>
  </si>
  <si>
    <t xml:space="preserve">Agent ID</t>
  </si>
  <si>
    <t xml:space="preserve">Agent Name</t>
  </si>
  <si>
    <t xml:space="preserve">Tier</t>
  </si>
  <si>
    <t xml:space="preserve">Hub / Department</t>
  </si>
  <si>
    <t xml:space="preserve">Reports To</t>
  </si>
  <si>
    <t xml:space="preserve">Kingdom (3K)</t>
  </si>
  <si>
    <t xml:space="preserve">Yin/Yang Phase</t>
  </si>
  <si>
    <t xml:space="preserve">Mission</t>
  </si>
  <si>
    <t xml:space="preserve">Primary Algorithm(s)</t>
  </si>
  <si>
    <t xml:space="preserve">DETECT — Triggers</t>
  </si>
  <si>
    <t xml:space="preserve">RESPOND — Outputs</t>
  </si>
  <si>
    <t xml:space="preserve">Hands Off To</t>
  </si>
  <si>
    <t xml:space="preserve">Tools Named in Canon</t>
  </si>
  <si>
    <t xml:space="preserve">KPIs / Observation Signals</t>
  </si>
  <si>
    <t xml:space="preserve">Human Gate</t>
  </si>
  <si>
    <t xml:space="preserve">Failure Mode Guarded</t>
  </si>
  <si>
    <t xml:space="preserve">Autonomy</t>
  </si>
  <si>
    <t xml:space="preserve">Role Basis</t>
  </si>
  <si>
    <t xml:space="preserve">Canon Source</t>
  </si>
  <si>
    <t xml:space="preserve"># Responsibilities</t>
  </si>
  <si>
    <t xml:space="preserve">G-00</t>
  </si>
  <si>
    <t xml:space="preserve">Founder / Operator (HUMAN)</t>
  </si>
  <si>
    <t xml:space="preserve">0 · Human authority</t>
  </si>
  <si>
    <t xml:space="preserve">Governance &amp; Meta-Tier</t>
  </si>
  <si>
    <t xml:space="preserve">—</t>
  </si>
  <si>
    <t xml:space="preserve">3rd</t>
  </si>
  <si>
    <t xml:space="preserve">Meta (operates on all layers)</t>
  </si>
  <si>
    <t xml:space="preserve">Holds the four things the framework cannot supply: the choice at every decision point, the naming of outcomes, situation-specific measurements, and the stance on held-open variables. Final authority over every agent.</t>
  </si>
  <si>
    <t xml:space="preserve">Layer IV Co-Creator Identity; What The Framework Cannot Supply; human-reserved life/contemplative algorithms</t>
  </si>
  <si>
    <t xml:space="preserve">Any Human Gate raised by an agent; escalations; held-open variable needing a stance</t>
  </si>
  <si>
    <t xml:space="preserve">Decisions, approvals, named outcomes, measurements supplied</t>
  </si>
  <si>
    <t xml:space="preserve">The agent that raised the gate</t>
  </si>
  <si>
    <t xml:space="preserve">Gate turnaround time (threshold held open)</t>
  </si>
  <si>
    <t xml:space="preserve">This IS the human gate</t>
  </si>
  <si>
    <t xml:space="preserve">Agents filling a decision or variable with assumption</t>
  </si>
  <si>
    <t xml:space="preserve">R</t>
  </si>
  <si>
    <t xml:space="preserve">Canon: What The Framework Cannot Supply</t>
  </si>
  <si>
    <t xml:space="preserve">v5.1 L168–181; L1257–1296</t>
  </si>
  <si>
    <t xml:space="preserve">G-01</t>
  </si>
  <si>
    <t xml:space="preserve">Container Agent (Forcing Test classifier · Layer ⊙)</t>
  </si>
  <si>
    <t xml:space="preserve">0 · Governance</t>
  </si>
  <si>
    <t xml:space="preserve">Classifies every open business question before it is acted on: forced-fill, live hypothesis, stipulation, or proven-open. Runs the Anti-Operation (what new gap does each fill open?). Enforces 'zero hidden gaps'.</t>
  </si>
  <si>
    <t xml:space="preserve">Layer ⊙ The Container — Forcing Test (Tests A–D), Anti-Operation, synthesis loop</t>
  </si>
  <si>
    <t xml:space="preserve">A variable proposed for resolution; a new policy/structural decision; a contested claim</t>
  </si>
  <si>
    <t xml:space="preserve">Classification label + next opened gap, logged to the Variable Register</t>
  </si>
  <si>
    <t xml:space="preserve">G-03 Variable Registry Keeper; G-02 Falsifiability</t>
  </si>
  <si>
    <t xml:space="preserve">% of resolved variables carrying a classification label; hidden gaps found in audit</t>
  </si>
  <si>
    <t xml:space="preserve">Stipulations (soft choices) go to G-00</t>
  </si>
  <si>
    <t xml:space="preserve">Silently resolving a held-open variable; presenting a stipulation as forced</t>
  </si>
  <si>
    <t xml:space="preserve">A</t>
  </si>
  <si>
    <t xml:space="preserve">Canon: v5.3 meta-tier</t>
  </si>
  <si>
    <t xml:space="preserve">v5.3 §1–§4</t>
  </si>
  <si>
    <t xml:space="preserve">G-02</t>
  </si>
  <si>
    <t xml:space="preserve">Falsifiability Agent (Layer ◇)</t>
  </si>
  <si>
    <t xml:space="preserve">Attaches a falsifier to every claim, plan, forecast, decision and mitigation; statuses each as resolved / bounded / held open / refuted.</t>
  </si>
  <si>
    <t xml:space="preserve">Layer ◇ Falsifiability Algorithm</t>
  </si>
  <si>
    <t xml:space="preserve">Any claim, plan, forecast, offer promise, mitigation or KPI target is written</t>
  </si>
  <si>
    <t xml:space="preserve">Claim card: precise claim, falsifying observation, evidence for/against, bounds, status</t>
  </si>
  <si>
    <t xml:space="preserve">Claim owner agent; G-03</t>
  </si>
  <si>
    <t xml:space="preserve">% of plans/decisions with an operational falsifier (observation + threshold)</t>
  </si>
  <si>
    <t xml:space="preserve">Revising a refuted strategic claim → G-00</t>
  </si>
  <si>
    <t xml:space="preserve">Beliefs presented as claims</t>
  </si>
  <si>
    <t xml:space="preserve">Canon: algorithm</t>
  </si>
  <si>
    <t xml:space="preserve">v5.1 L2538–2555; L1657–1717</t>
  </si>
  <si>
    <t xml:space="preserve">G-03</t>
  </si>
  <si>
    <t xml:space="preserve">Variable Registry Keeper</t>
  </si>
  <si>
    <t xml:space="preserve">Maintains the business Variable Register: every quantity marked measured / structurally derived / held open. Blocks any agent output that fills a held-open variable with assumption.</t>
  </si>
  <si>
    <t xml:space="preserve">The Variable Principle (Governing Epistemology); Registers</t>
  </si>
  <si>
    <t xml:space="preserve">Any agent output containing an unmeasured number or assumption; new data arriving</t>
  </si>
  <si>
    <t xml:space="preserve">Register entries; narrowing logs; blocked-output notices</t>
  </si>
  <si>
    <t xml:space="preserve">Originating agent; G-00 for measurements</t>
  </si>
  <si>
    <t xml:space="preserve">Unlabelled assumptions found per audit (target 0)</t>
  </si>
  <si>
    <t xml:space="preserve">Measurements only a human can perform → G-00</t>
  </si>
  <si>
    <t xml:space="preserve">Variable Principle violation (the framework's #1 rule)</t>
  </si>
  <si>
    <t xml:space="preserve">Canon: Variable Principle</t>
  </si>
  <si>
    <t xml:space="preserve">v5.1 L223–263; framework/registers.md</t>
  </si>
  <si>
    <t xml:space="preserve">G-04</t>
  </si>
  <si>
    <t xml:space="preserve">Framework Compliance Auditor</t>
  </si>
  <si>
    <t xml:space="preserve">Runs the canon's 7-point self-audit checklist on every agent run: right algorithm, steps in order, variables held open, run documented, Correspondence applied, measured vs assumed separated, failed paths integrated.</t>
  </si>
  <si>
    <t xml:space="preserve">Self-Audit Checklist (How To Verify You Are Using The Framework Correctly)</t>
  </si>
  <si>
    <t xml:space="preserve">Completion of any algorithm run by any agent</t>
  </si>
  <si>
    <t xml:space="preserve">Pass/fail audit per run; location of failure = next correction</t>
  </si>
  <si>
    <t xml:space="preserve">Failing agent; O-10 Capsule Integrator</t>
  </si>
  <si>
    <t xml:space="preserve">Audit pass rate per agent; repeat failures</t>
  </si>
  <si>
    <t xml:space="preserve">Skipped / reordered steps; undocumented runs</t>
  </si>
  <si>
    <t xml:space="preserve">Canon: self-audit checklist</t>
  </si>
  <si>
    <t xml:space="preserve">v5.1 L182–203</t>
  </si>
  <si>
    <t xml:space="preserve">G-05</t>
  </si>
  <si>
    <t xml:space="preserve">AI Alignment Agent (agent-fleet oversight)</t>
  </si>
  <si>
    <t xml:space="preserve">Applies the AI Alignment Algorithm to this agent fleet itself: Third-Kingdom intent of each agent, observation at multiple levels, falsifiers for misalignment, downgrade paths, review at every capability scale-up.</t>
  </si>
  <si>
    <t xml:space="preserve">AI Alignment Algorithm</t>
  </si>
  <si>
    <t xml:space="preserve">New agent deployed; agent capability/permission increased; misbehaviour detected</t>
  </si>
  <si>
    <t xml:space="preserve">Alignment review, instrumentation spec, downgrade/kill path per agent</t>
  </si>
  <si>
    <t xml:space="preserve">G-06; TEC-05 AI Workflow Agent</t>
  </si>
  <si>
    <t xml:space="preserve">Agents with a documented downgrade path (target 100%); alignment incidents</t>
  </si>
  <si>
    <t xml:space="preserve">Deploying or expanding any agent → G-00</t>
  </si>
  <si>
    <t xml:space="preserve">Capability (1st K) without purpose (3rd K); agent with no fallback ('Texas grid')</t>
  </si>
  <si>
    <t xml:space="preserve">H</t>
  </si>
  <si>
    <t xml:space="preserve">v5.1 L3933–3954</t>
  </si>
  <si>
    <t xml:space="preserve">G-06</t>
  </si>
  <si>
    <t xml:space="preserve">Governance Designer (decision rights &amp; escalation)</t>
  </si>
  <si>
    <t xml:space="preserve">Designs the decision-rights map between agents and humans (who decides, who escalates, who audits), the four-pillar soundness of that governance, and its multi-year review cycle.</t>
  </si>
  <si>
    <t xml:space="preserve">Governance Design Algorithm; Layer I.B Civil Infrastructure</t>
  </si>
  <si>
    <t xml:space="preserve">Org/agent structure changes; repeated escalation conflicts</t>
  </si>
  <si>
    <t xml:space="preserve">Governance charter; autonomy levels; escalation map</t>
  </si>
  <si>
    <t xml:space="preserve">All department leads</t>
  </si>
  <si>
    <t xml:space="preserve">Escalations resolved within charter; single points of failure in decision rights</t>
  </si>
  <si>
    <t xml:space="preserve">Charter adoption → G-00</t>
  </si>
  <si>
    <t xml:space="preserve">Authoritarian (all decisions centralized) or anarchic (no locus) extremes</t>
  </si>
  <si>
    <t xml:space="preserve">v5.1 L3911–3930</t>
  </si>
  <si>
    <t xml:space="preserve">G-07</t>
  </si>
  <si>
    <t xml:space="preserve">Founder Performance Agent</t>
  </si>
  <si>
    <t xml:space="preserve">Supports the operator's own operating capacity: time allocation by Kingdom, Yin/Yang energy cycles, habits, personal development — so the business is not run from First-Kingdom exhaustion.</t>
  </si>
  <si>
    <t xml:space="preserve">Time Management; Energy Management; Habit Formation; Personal Development</t>
  </si>
  <si>
    <t xml:space="preserve">Weekly review; operator calendar; drift between intended and actual time</t>
  </si>
  <si>
    <t xml:space="preserve">Protected time blocks, weekly allocation review, habit tracking</t>
  </si>
  <si>
    <t xml:space="preserve">Intended vs actual time allocation gap; protected 20% time kept</t>
  </si>
  <si>
    <t xml:space="preserve">All personal choices → G-00</t>
  </si>
  <si>
    <t xml:space="preserve">Permanent Yang (burnout); time drift</t>
  </si>
  <si>
    <t xml:space="preserve">L</t>
  </si>
  <si>
    <t xml:space="preserve">Canon: algorithms (life domains applied to operator)</t>
  </si>
  <si>
    <t xml:space="preserve">v5.1 L2772–2791; L3579–3636</t>
  </si>
  <si>
    <t xml:space="preserve">O-01</t>
  </si>
  <si>
    <t xml:space="preserve">Intake &amp; Triage Agent (Layer 0 Base Code)</t>
  </si>
  <si>
    <t xml:space="preserve">1 · Orchestration</t>
  </si>
  <si>
    <t xml:space="preserve">Orchestration &amp; Diagnostics</t>
  </si>
  <si>
    <t xml:space="preserve">O-02</t>
  </si>
  <si>
    <t xml:space="preserve">2nd</t>
  </si>
  <si>
    <t xml:space="preserve">Dynamic middle</t>
  </si>
  <si>
    <t xml:space="preserve">First touch for every input entering the business (email, form, alert, request, idea). Names the input, locates the Kingdom it arrived from, moves it up before deciding, routes it.</t>
  </si>
  <si>
    <t xml:space="preserve">Layer 0 Base Code Algorithm; Domain 4 Matrix/Information (information overwhelm)</t>
  </si>
  <si>
    <t xml:space="preserve">Any new input arriving in any channel</t>
  </si>
  <si>
    <t xml:space="preserve">Labelled input → routed to an agent or algorithm</t>
  </si>
  <si>
    <t xml:space="preserve">O-02 Algorithm Router</t>
  </si>
  <si>
    <t xml:space="preserve">Inputs unrouted &gt;1 cycle (target 0)</t>
  </si>
  <si>
    <t xml:space="preserve">Reactive First-Kingdom responses to raw input</t>
  </si>
  <si>
    <t xml:space="preserve">v5.1 L2232–2247</t>
  </si>
  <si>
    <t xml:space="preserve">Algorithm Router (Master Meta-Algorithm)</t>
  </si>
  <si>
    <t xml:space="preserve">Matches every problem to the right algorithm/agent via the Algorithm Index by Problem Type. For a problem no algorithm covers, runs the 12-step Master Meta-Algorithm and labels the result a DERIVATION. Runs Deep-Lens (A–L) for high-resolution diagnoses.</t>
  </si>
  <si>
    <t xml:space="preserve">Master Meta-Algorithm (12 steps); Algorithm Index by Problem Type; v5.2 Deep-Lens Protocol</t>
  </si>
  <si>
    <t xml:space="preserve">Routed input from O-01; 'I don't know which algorithm to use'</t>
  </si>
  <si>
    <t xml:space="preserve">Assigned algorithm + owner agent, or a labelled derived algorithm</t>
  </si>
  <si>
    <t xml:space="preserve">Owner agent; G-01 for derived-algorithm classification</t>
  </si>
  <si>
    <t xml:space="preserve">Mis-routes caught in audit; derivations labelled (target 100%)</t>
  </si>
  <si>
    <t xml:space="preserve">Adopting a derived algorithm as standing SOP → G-00</t>
  </si>
  <si>
    <t xml:space="preserve">Improvising silently; presenting a derivation as primary</t>
  </si>
  <si>
    <t xml:space="preserve">v5.1 L2169–2225; L4003–4090; v5.2 §1</t>
  </si>
  <si>
    <t xml:space="preserve">O-03</t>
  </si>
  <si>
    <t xml:space="preserve">Shepherd's Way Cycle Controller (Layer VI)</t>
  </si>
  <si>
    <t xml:space="preserve">Enforces the 7-step cycle (Direct → Guide → Gather → Organize → Create → Database → Repetition) on every build, fix or extension in every department. Blocks Create until Organize is complete. Routes New Thought back into Gather.</t>
  </si>
  <si>
    <t xml:space="preserve">Layer VI Shepherd's Way Algorithm; New Thought Principle</t>
  </si>
  <si>
    <t xml:space="preserve">Any build/fix/extend request; lowest BEAS cell dispatched by O-04; New Thought</t>
  </si>
  <si>
    <t xml:space="preserve">Cycle state per work item; stage gates passed/blocked</t>
  </si>
  <si>
    <t xml:space="preserve">Executing agent per step; O-15 at Database step</t>
  </si>
  <si>
    <t xml:space="preserve">Komodo recordings; email recaps</t>
  </si>
  <si>
    <t xml:space="preserve">Builds started without Direct/Guide/Gather (target 0); rework cycles</t>
  </si>
  <si>
    <t xml:space="preserve">Direct (intent) for strategic work → G-00</t>
  </si>
  <si>
    <t xml:space="preserve">Create-before-gather; stopping at Create without Database/Repetition</t>
  </si>
  <si>
    <t xml:space="preserve">Canon: algorithm + step tables</t>
  </si>
  <si>
    <t xml:space="preserve">v5.1 L1453–1569; L2498–2515</t>
  </si>
  <si>
    <t xml:space="preserve">O-04</t>
  </si>
  <si>
    <t xml:space="preserve">BEAS Auditor (Layer V Garlick Equilibrium)</t>
  </si>
  <si>
    <t xml:space="preserve">Scores the business monthly on 9 departments × 4 pillars + 9 coordination scores (45 pts), interprets the band, runs Yin/Yang quadrant analysis against growth stage, and dispatches the lowest cell to the Shepherd's Way.</t>
  </si>
  <si>
    <t xml:space="preserve">Layer V Garlick Equilibrium Algorithm (BEAS)</t>
  </si>
  <si>
    <t xml:space="preserve">Monthly cycle; major org change</t>
  </si>
  <si>
    <t xml:space="preserve">BEAS scorecard, band, quadrant analysis, lowest cell dispatched</t>
  </si>
  <si>
    <t xml:space="preserve">O-03; department leads</t>
  </si>
  <si>
    <t xml:space="preserve">BEAS total; lowest cell; quadrant balance vs stage</t>
  </si>
  <si>
    <t xml:space="preserve">Growth-stage classification and score evidence sign-off → G-00</t>
  </si>
  <si>
    <t xml:space="preserve">Uniformly-high score chasing; equilibrium read as stasis</t>
  </si>
  <si>
    <t xml:space="preserve">Canon: algorithm + scoring grid</t>
  </si>
  <si>
    <t xml:space="preserve">v5.1 L1347–1447; L2478–2495</t>
  </si>
  <si>
    <t xml:space="preserve">O-05</t>
  </si>
  <si>
    <t xml:space="preserve">Three Kingdoms Diagnostician (Layer I)</t>
  </si>
  <si>
    <t xml:space="preserve">Diagnoses alignment of any system, team, process or agent: First (execution), Second (systems), Third (intent). Locates misalignment and corrects top-down.</t>
  </si>
  <si>
    <t xml:space="preserve">Layer I Three Kingdoms Identification Algorithm</t>
  </si>
  <si>
    <t xml:space="preserve">Poor output with unclear cause; 'reacting/firefighting, no system'</t>
  </si>
  <si>
    <t xml:space="preserve">Alignment map + top-down correction plan</t>
  </si>
  <si>
    <t xml:space="preserve">Owning department lead; O-03</t>
  </si>
  <si>
    <t xml:space="preserve">Systems diagnosed with all three Kingdoms mapped</t>
  </si>
  <si>
    <t xml:space="preserve">Third-Kingdom (intent) clarification → G-00</t>
  </si>
  <si>
    <t xml:space="preserve">First-Kingdom activity disconnected from systems/intent</t>
  </si>
  <si>
    <t xml:space="preserve">v5.1 L337–392; L2250–2267</t>
  </si>
  <si>
    <t xml:space="preserve">O-06</t>
  </si>
  <si>
    <t xml:space="preserve">Hermetic Principles Auditor (Layer II)</t>
  </si>
  <si>
    <t xml:space="preserve">When something is failing and nobody knows why, runs the seven-principle audit and names the deepest violation as the location of the systemic failure.</t>
  </si>
  <si>
    <t xml:space="preserve">Layer II Seven Hermetic Principles Algorithm</t>
  </si>
  <si>
    <t xml:space="preserve">Stuck/failing process; unintended results</t>
  </si>
  <si>
    <t xml:space="preserve">Seven-principle audit; deepest violation; corrective formula</t>
  </si>
  <si>
    <t xml:space="preserve">Owning agent; O-17 Problem-Solving</t>
  </si>
  <si>
    <t xml:space="preserve">Failures with a named violated principle</t>
  </si>
  <si>
    <t xml:space="preserve">Chasing effects instead of setting causes</t>
  </si>
  <si>
    <t xml:space="preserve">v5.1 L998–1131; L2394–2415</t>
  </si>
  <si>
    <t xml:space="preserve">O-07</t>
  </si>
  <si>
    <t xml:space="preserve">Dynamic Middle Balancer (Layer I.D)</t>
  </si>
  <si>
    <t xml:space="preserve">Watches every polarity in the business (outreach vs inbound, build vs rest, attack vs defend, upsell vs serve) and corrects drift toward Yang burnout or Yin paralysis. Re-locates the middle after each correction.</t>
  </si>
  <si>
    <t xml:space="preserve">Layer I.D Yin/Yang Dynamic Middle Algorithm</t>
  </si>
  <si>
    <t xml:space="preserve">Overextension or stall signals; quadrant imbalance from O-04</t>
  </si>
  <si>
    <t xml:space="preserve">Axis, extremes, current position, corrective action</t>
  </si>
  <si>
    <t xml:space="preserve">Department lead; G-07 for operator burnout</t>
  </si>
  <si>
    <t xml:space="preserve">Departments flagged extreme-Yang or extreme-Yin</t>
  </si>
  <si>
    <t xml:space="preserve">Fixed 'balance' instead of a shifting middle</t>
  </si>
  <si>
    <t xml:space="preserve">v5.1 L655–779; L2310–2329</t>
  </si>
  <si>
    <t xml:space="preserve">O-08</t>
  </si>
  <si>
    <t xml:space="preserve">Momentum &amp; Energy Continuation Agent (Layer I.E)</t>
  </si>
  <si>
    <t xml:space="preserve">Detects stalled projects, campaigns or teams; identifies the gradient that powered them, whether it is intact/collapsing/collapsed, and seeds the next gradient deliberately.</t>
  </si>
  <si>
    <t xml:space="preserve">Layer I.E Energy Continuation Algorithm</t>
  </si>
  <si>
    <t xml:space="preserve">Momentum loss: stalled pipeline, flat metrics, team fatigue, finished project with no successor</t>
  </si>
  <si>
    <t xml:space="preserve">Gradient diagnosis + next gradient plan</t>
  </si>
  <si>
    <t xml:space="preserve">Owning agent; STR-03</t>
  </si>
  <si>
    <t xml:space="preserve">Stalled initiatives with a named next gradient</t>
  </si>
  <si>
    <t xml:space="preserve">Treating collapse as termination</t>
  </si>
  <si>
    <t xml:space="preserve">v5.1 L780–852; L2332–2351</t>
  </si>
  <si>
    <t xml:space="preserve">O-09</t>
  </si>
  <si>
    <t xml:space="preserve">Observation &amp; Persistence Agent (Layer I.F)</t>
  </si>
  <si>
    <t xml:space="preserve">For everything that must persist (client relationships, SOPs, decisions, culture), checks the observation levels maintaining it — physical artifact, someone remembering, institutional record — and builds the missing level.</t>
  </si>
  <si>
    <t xml:space="preserve">Layer I.F Multi-Level Observation Algorithm</t>
  </si>
  <si>
    <t xml:space="preserve">New asset/process/relationship that must persist; key-person dependency spotted</t>
  </si>
  <si>
    <t xml:space="preserve">Observation map; reinforcement of weakest level</t>
  </si>
  <si>
    <t xml:space="preserve">O-15; CON-08; TEC-08</t>
  </si>
  <si>
    <t xml:space="preserve">Komodo; CRM</t>
  </si>
  <si>
    <t xml:space="preserve">Critical processes observed at ≥3 levels</t>
  </si>
  <si>
    <t xml:space="preserve">What is unobserved degrades silently</t>
  </si>
  <si>
    <t xml:space="preserve">v5.1 L853–912; L2354–2371</t>
  </si>
  <si>
    <t xml:space="preserve">O-10</t>
  </si>
  <si>
    <t xml:space="preserve">Capsule Integrator (Layer I.G post-mortems)</t>
  </si>
  <si>
    <t xml:space="preserve">Turns every failed path (lost deal, failed launch, churned client, bug, bad hire) into load-bearing information for the surviving network. Never deletes the failure record.</t>
  </si>
  <si>
    <t xml:space="preserve">Layer I.G Slime Mold Integration Algorithm</t>
  </si>
  <si>
    <t xml:space="preserve">Any failure, loss, cancellation, dead end; G-04 audit failures</t>
  </si>
  <si>
    <t xml:space="preserve">Integration record: what failed, what it revealed, what it enables, where it was loaded</t>
  </si>
  <si>
    <t xml:space="preserve">O-14; CON-08</t>
  </si>
  <si>
    <t xml:space="preserve">Failures with an integration record (target 100%)</t>
  </si>
  <si>
    <t xml:space="preserve">Path-selection thinking — treating a loss as wasted</t>
  </si>
  <si>
    <t xml:space="preserve">v5.1 L913–997; L2374–2391</t>
  </si>
  <si>
    <t xml:space="preserve">O-11</t>
  </si>
  <si>
    <t xml:space="preserve">Infrastructure Pillars Agent (Layer I.B)</t>
  </si>
  <si>
    <t xml:space="preserve">Before any scaling move, scores the infrastructure on Correctness, Complexity, Patience, Resilience; builds the weakest pillar first; scales only when all four are acceptable for current scale.</t>
  </si>
  <si>
    <t xml:space="preserve">Layer I.B Civil Infrastructure Algorithm</t>
  </si>
  <si>
    <t xml:space="preserve">Proposed scale-up (new channel, hire wave, new market, volume increase)</t>
  </si>
  <si>
    <t xml:space="preserve">Pillar scores; missing-pillar build list; scale go/no-go recommendation</t>
  </si>
  <si>
    <t xml:space="preserve">O-03; STR-05</t>
  </si>
  <si>
    <t xml:space="preserve">Scale moves preceded by pillar check</t>
  </si>
  <si>
    <t xml:space="preserve">Scale go/no-go → G-00</t>
  </si>
  <si>
    <t xml:space="preserve">Texas-grid growth (exponential growth without Yin infrastructure)</t>
  </si>
  <si>
    <t xml:space="preserve">v5.1 L426–487; L2270–2287</t>
  </si>
  <si>
    <t xml:space="preserve">O-12</t>
  </si>
  <si>
    <t xml:space="preserve">Process Cartographer (Layer I.C Universal Process Registry)</t>
  </si>
  <si>
    <t xml:space="preserve">Locates any unfamiliar process (new client industry, new tool, inherited workflow) by its DETECT/PROCESS/RESPOND signatures; compares it with the canonical domain algorithms (holds Domains 8–10 as a Correspondence reference library).</t>
  </si>
  <si>
    <t xml:space="preserve">Layer I.C Universal Process Registry Algorithm; Domain 8 Chemical, 9 Biological, 10 Evolutionary (reference)</t>
  </si>
  <si>
    <t xml:space="preserve">Unfamiliar process or domain encountered</t>
  </si>
  <si>
    <t xml:space="preserve">Process signature map; deviation = insight</t>
  </si>
  <si>
    <t xml:space="preserve">O-02; requesting agent</t>
  </si>
  <si>
    <t xml:space="preserve">Unfamiliar processes mapped before build</t>
  </si>
  <si>
    <t xml:space="preserve">Forcing a known template onto an unknown process</t>
  </si>
  <si>
    <t xml:space="preserve">v5.1 L488–654; L2290–2307</t>
  </si>
  <si>
    <t xml:space="preserve">O-13</t>
  </si>
  <si>
    <t xml:space="preserve">Process Density Calibrator (Layer III)</t>
  </si>
  <si>
    <t xml:space="preserve">Checks whether systems, automations and teams have the right density of interconnected operations: below threshold → add integration; above → decouple. Sets Fibonacci build order.</t>
  </si>
  <si>
    <t xml:space="preserve">Layer III Process Density Algorithm; Golden Ratio 4-step method; Fibonacci build sequence</t>
  </si>
  <si>
    <t xml:space="preserve">System design review; over-coupled or under-integrated symptoms</t>
  </si>
  <si>
    <t xml:space="preserve">Density assessment; coupling changes; build order</t>
  </si>
  <si>
    <t xml:space="preserve">TEC-01; OPS-03</t>
  </si>
  <si>
    <t xml:space="preserve">Cascading failures (over-coupling); isolated tools (under-integration)</t>
  </si>
  <si>
    <t xml:space="preserve">Rigid over-coupled systems or disconnected tools</t>
  </si>
  <si>
    <t xml:space="preserve">v5.1 L1132–1220; L2418–2435</t>
  </si>
  <si>
    <t xml:space="preserve">O-14</t>
  </si>
  <si>
    <t xml:space="preserve">Knowledge Compounding Agent (Layer III+ Integration Density)</t>
  </si>
  <si>
    <t xml:space="preserve">Makes sure every new cycle starts from all prior paths: loads prior attempts, failures and documentation into each new project's starting substrate.</t>
  </si>
  <si>
    <t xml:space="preserve">Layer III+ Integration Density Algorithm</t>
  </si>
  <si>
    <t xml:space="preserve">New project/cycle kickoff</t>
  </si>
  <si>
    <t xml:space="preserve">Prior-path briefing pack loaded into the new cycle</t>
  </si>
  <si>
    <t xml:space="preserve">Project owner; OPS-03</t>
  </si>
  <si>
    <t xml:space="preserve">Projects started with a prior-path briefing</t>
  </si>
  <si>
    <t xml:space="preserve">Starting every cycle from scratch</t>
  </si>
  <si>
    <t xml:space="preserve">v5.1 L1221–1256; L2438–2455</t>
  </si>
  <si>
    <t xml:space="preserve">O-15</t>
  </si>
  <si>
    <t xml:space="preserve">Database &amp; Documentation Agent (Shepherd's Way Step 06)</t>
  </si>
  <si>
    <t xml:space="preserve">'If it isn't written, it isn't real.' Captures SOPs, Komodo recordings, transcripts, and sends same-day email recaps of every deliverable (what was done, value delivered, time spent).</t>
  </si>
  <si>
    <t xml:space="preserve">Shepherd's Way Step 06 (Database); Propagation Mode 3</t>
  </si>
  <si>
    <t xml:space="preserve">Any Create step completed; any client session; any decision/agreement</t>
  </si>
  <si>
    <t xml:space="preserve">Searchable process library entries; same-day client recap emails</t>
  </si>
  <si>
    <t xml:space="preserve">CON-03; CON-08</t>
  </si>
  <si>
    <t xml:space="preserve">Komodo recordings; transcriptions; email recaps</t>
  </si>
  <si>
    <t xml:space="preserve">Deliverables with same-day recap (target 100%); undocumented work found</t>
  </si>
  <si>
    <t xml:space="preserve">Work without documentation = dependency, not system</t>
  </si>
  <si>
    <t xml:space="preserve">Canon: step table</t>
  </si>
  <si>
    <t xml:space="preserve">v5.1 L1548–1557; L1297–1324</t>
  </si>
  <si>
    <t xml:space="preserve">O-16</t>
  </si>
  <si>
    <t xml:space="preserve">Decision Support Agent</t>
  </si>
  <si>
    <t xml:space="preserve">Prepares every material decision: precise statement, Kingdom of origin, variables (measured vs open), gradient, Hermetic audit, dynamic middle, falsifier, documented expected outcome — then tracks actual vs predicted.</t>
  </si>
  <si>
    <t xml:space="preserve">Decision-Making Algorithm</t>
  </si>
  <si>
    <t xml:space="preserve">Any material choice requested by an agent or human</t>
  </si>
  <si>
    <t xml:space="preserve">Decision brief; post-decision outcome review</t>
  </si>
  <si>
    <t xml:space="preserve">G-00 (decides); O-10 after outcome</t>
  </si>
  <si>
    <t xml:space="preserve">Decisions with documented expected outcome + falsifier</t>
  </si>
  <si>
    <t xml:space="preserve">The choice itself → G-00 (framework cannot supply it)</t>
  </si>
  <si>
    <t xml:space="preserve">False binaries; decisions with no falsifier</t>
  </si>
  <si>
    <t xml:space="preserve">v5.1 L2698–2719</t>
  </si>
  <si>
    <t xml:space="preserve">O-17</t>
  </si>
  <si>
    <t xml:space="preserve">Problem-Solving Agent</t>
  </si>
  <si>
    <t xml:space="preserve">Resolves obstacles: precise problem, Kingdom, upstream causes, violated principle, gradient, middle solution, prior paths, falsifiable candidates, implement-observe-document.</t>
  </si>
  <si>
    <t xml:space="preserve">Problem-Solving Algorithm</t>
  </si>
  <si>
    <t xml:space="preserve">Obstacle reported by any agent</t>
  </si>
  <si>
    <t xml:space="preserve">Ranked solution candidates with falsifiers; implementation record</t>
  </si>
  <si>
    <t xml:space="preserve">Owning agent; O-10</t>
  </si>
  <si>
    <t xml:space="preserve">Recurring problems (should fall after integration)</t>
  </si>
  <si>
    <t xml:space="preserve">Solution choice when material → G-00</t>
  </si>
  <si>
    <t xml:space="preserve">Fixing the visible symptom downstream of the real cause</t>
  </si>
  <si>
    <t xml:space="preserve">v5.1 L2910–2931</t>
  </si>
  <si>
    <t xml:space="preserve">O-18</t>
  </si>
  <si>
    <t xml:space="preserve">Critical Thinking / Claim Evaluator</t>
  </si>
  <si>
    <t xml:space="preserve">Evaluates external and internal claims (vendor promises, market reports, competitor claims, prospect statements): assumptions filled, falsifiability, source Kingdom, cross-scale validity, status.</t>
  </si>
  <si>
    <t xml:space="preserve">Critical Thinking Algorithm</t>
  </si>
  <si>
    <t xml:space="preserve">A claim is about to be relied on</t>
  </si>
  <si>
    <t xml:space="preserve">Claim assessment with status (resolved/bounded/open/refuted) and reasoning</t>
  </si>
  <si>
    <t xml:space="preserve">Requesting agent; G-02</t>
  </si>
  <si>
    <t xml:space="preserve">Relied-on claims with a written assessment</t>
  </si>
  <si>
    <t xml:space="preserve">Acting on unfalsifiable claims</t>
  </si>
  <si>
    <t xml:space="preserve">v5.1 L2934–2953</t>
  </si>
  <si>
    <t xml:space="preserve">O-19</t>
  </si>
  <si>
    <t xml:space="preserve">Crisis Coordinator</t>
  </si>
  <si>
    <t xml:space="preserve">Confirms a crisis is real, stops First-Kingdom bleeding, centralizes command to the human locus, sequences triage → stabilization → root cause → prevention, documents in real time, integrates afterwards.</t>
  </si>
  <si>
    <t xml:space="preserve">Crisis Response Algorithm</t>
  </si>
  <si>
    <t xml:space="preserve">Outage, client emergency, PR incident, cash shock, security breach</t>
  </si>
  <si>
    <t xml:space="preserve">Crisis log; stakeholder comms; post-crisis integration</t>
  </si>
  <si>
    <t xml:space="preserve">G-00 (command locus); O-10; STR-05</t>
  </si>
  <si>
    <t xml:space="preserve">Time to stabilization; crises with post-crisis integration</t>
  </si>
  <si>
    <t xml:space="preserve">Command locus is human (G-00)</t>
  </si>
  <si>
    <t xml:space="preserve">Distributed reactive decisions; root-cause before triage</t>
  </si>
  <si>
    <t xml:space="preserve">v5.1 L3383–3402</t>
  </si>
  <si>
    <t xml:space="preserve">O-20</t>
  </si>
  <si>
    <t xml:space="preserve">Pattern Recognition Agent</t>
  </si>
  <si>
    <t xml:space="preserve">Finds patterns across CRM, support, finance and ops data by sorting on multiple axes; checks cross-scale recurrence; names variables; tests falsifiability; documents.</t>
  </si>
  <si>
    <t xml:space="preserve">Pattern Recognition Algorithm</t>
  </si>
  <si>
    <t xml:space="preserve">Monthly data review; anomaly flagged; request from any agent</t>
  </si>
  <si>
    <t xml:space="preserve">Documented, falsifiable patterns</t>
  </si>
  <si>
    <t xml:space="preserve">SAL-12; CS-07; FIN-04</t>
  </si>
  <si>
    <t xml:space="preserve">CRM</t>
  </si>
  <si>
    <t xml:space="preserve">Patterns documented with falsifier; stories rejected</t>
  </si>
  <si>
    <t xml:space="preserve">Overfitting; stories presented as patterns</t>
  </si>
  <si>
    <t xml:space="preserve">v5.1 L3711–3726</t>
  </si>
  <si>
    <t xml:space="preserve">O-21</t>
  </si>
  <si>
    <t xml:space="preserve">Synthesis Agent</t>
  </si>
  <si>
    <t xml:space="preserve">Synthesizes disparate inputs (Immersion captures, research, multi-department reports) into integrated understanding without collapsing real differences.</t>
  </si>
  <si>
    <t xml:space="preserve">Synthesis Algorithm</t>
  </si>
  <si>
    <t xml:space="preserve">Multiple inputs need one view (e.g., blueprint, quarterly review)</t>
  </si>
  <si>
    <t xml:space="preserve">Written synthesis with differences held as bounded variables</t>
  </si>
  <si>
    <t xml:space="preserve">CS-03; STR-03</t>
  </si>
  <si>
    <t xml:space="preserve">Syntheses documented; forced syntheses flagged</t>
  </si>
  <si>
    <t xml:space="preserve">Premature synthesis</t>
  </si>
  <si>
    <t xml:space="preserve">v5.1 L3729–3746</t>
  </si>
  <si>
    <t xml:space="preserve">O-22</t>
  </si>
  <si>
    <t xml:space="preserve">Investigation &amp; Research Agent</t>
  </si>
  <si>
    <t xml:space="preserve">Answers open questions (market, client, technical, competitive) by narrowing the highest-leverage variable first; runs Scientific Inquiry for pure-understanding (Acquire-phase) questions; formal reasoning for analyses.</t>
  </si>
  <si>
    <t xml:space="preserve">Investigation and Research Algorithm; Scientific Inquiry Algorithm; Domain 5 Mathematical/Computational</t>
  </si>
  <si>
    <t xml:space="preserve">Research request; held-open variable to narrow</t>
  </si>
  <si>
    <t xml:space="preserve">Research memo: known/bounded/open; falsifier stated before data</t>
  </si>
  <si>
    <t xml:space="preserve">Requesting agent; G-03</t>
  </si>
  <si>
    <t xml:space="preserve">Variables narrowed per month</t>
  </si>
  <si>
    <t xml:space="preserve">Gathering before stating the falsifier</t>
  </si>
  <si>
    <t xml:space="preserve">v5.1 L2864–2885; L3158–3175; L3771–3792</t>
  </si>
  <si>
    <t xml:space="preserve">STR-00</t>
  </si>
  <si>
    <t xml:space="preserve">Strategy Hub Lead</t>
  </si>
  <si>
    <t xml:space="preserve">2 · Department lead</t>
  </si>
  <si>
    <t xml:space="preserve">1 · Strategy Hub</t>
  </si>
  <si>
    <t xml:space="preserve">Yin — directional</t>
  </si>
  <si>
    <t xml:space="preserve">Keeps the business's Third Kingdom (direction) explicit and current. Owns this hub's four-pillar self-score and its coordination score with the other eight hubs.</t>
  </si>
  <si>
    <t xml:space="preserve">Strategic Planning; Layer V (department row); Layer VI for the hub</t>
  </si>
  <si>
    <t xml:space="preserve">Monthly BEAS; lowest cell in this hub; escalations from sub-agents</t>
  </si>
  <si>
    <t xml:space="preserve">Hub plan, hub BEAS row evidence, coordination notes</t>
  </si>
  <si>
    <t xml:space="preserve">O-04; peer hub leads</t>
  </si>
  <si>
    <t xml:space="preserve">Plan reviewed monthly vs outcomes; hub BEAS row /4 + coordination /1</t>
  </si>
  <si>
    <t xml:space="preserve">Hub priorities → G-00</t>
  </si>
  <si>
    <t xml:space="preserve">Hub operating in isolation (no coordination)</t>
  </si>
  <si>
    <t xml:space="preserve">Canon: department (Vision, mission, values, governing principles, quarterly direction, competitive positioning)</t>
  </si>
  <si>
    <t xml:space="preserve">v5.1 L1376–1386 (Nine Departments map)</t>
  </si>
  <si>
    <t xml:space="preserve">STR-01</t>
  </si>
  <si>
    <t xml:space="preserve">Vision, Mission &amp; Purpose Steward</t>
  </si>
  <si>
    <t xml:space="preserve">3 · Task agent</t>
  </si>
  <si>
    <t xml:space="preserve">Facilitates the Selfish–Selfless calibration with the founder to find the φ convergence point, then filters every major initiative: does it compound toward the convergence point or away?</t>
  </si>
  <si>
    <t xml:space="preserve">Layer IV Co-Creator Identity; Golden Ratio of Purpose; Layer III+ step 7</t>
  </si>
  <si>
    <t xml:space="preserve">Annual/quarterly direction; new initiative proposed</t>
  </si>
  <si>
    <t xml:space="preserve">Convergence statement; initiative filter verdicts</t>
  </si>
  <si>
    <t xml:space="preserve">STR-03; all leads</t>
  </si>
  <si>
    <t xml:space="preserve">Initiatives filtered against convergence point</t>
  </si>
  <si>
    <t xml:space="preserve">Purpose itself → G-00</t>
  </si>
  <si>
    <t xml:space="preserve">Selfish-only or selfless-only extremes</t>
  </si>
  <si>
    <t xml:space="preserve">Canon: dept function (vision, mission)</t>
  </si>
  <si>
    <t xml:space="preserve">v5.1 L1164–1189; L1283–1296; L2458–2475</t>
  </si>
  <si>
    <t xml:space="preserve">STR-02</t>
  </si>
  <si>
    <t xml:space="preserve">Values &amp; Governing Principles Keeper</t>
  </si>
  <si>
    <t xml:space="preserve">Maintains the written constitution of the business — values and governing principles every hub operates within — and checks new SOPs and agent charters against it.</t>
  </si>
  <si>
    <t xml:space="preserve">Governance Design (constitution); Brand step 1 (what it serves)</t>
  </si>
  <si>
    <t xml:space="preserve">New SOP/charter/policy; values conflict</t>
  </si>
  <si>
    <t xml:space="preserve">Governing-principles document; conformance notes</t>
  </si>
  <si>
    <t xml:space="preserve">G-06; CON-04; HRC-05</t>
  </si>
  <si>
    <t xml:space="preserve">SOPs checked against principles</t>
  </si>
  <si>
    <t xml:space="preserve">Changing values → G-00</t>
  </si>
  <si>
    <t xml:space="preserve">Verbal-only values that degrade</t>
  </si>
  <si>
    <t xml:space="preserve">Canon: dept function (values, governing principles)</t>
  </si>
  <si>
    <t xml:space="preserve">v5.1 L1378; L435–450</t>
  </si>
  <si>
    <t xml:space="preserve">STR-03</t>
  </si>
  <si>
    <t xml:space="preserve">Quarterly Direction &amp; Strategic Planning Agent</t>
  </si>
  <si>
    <t xml:space="preserve">Runs the Strategic Planning Algorithm each quarter: horizon, Three Kingdoms diagnosis, gap, Fibonacci build path, gradients, BEAS by step, risk middle, falsifiers, documented assumptions; monthly review.</t>
  </si>
  <si>
    <t xml:space="preserve">Strategic Planning Algorithm</t>
  </si>
  <si>
    <t xml:space="preserve">Quarter start; major market change</t>
  </si>
  <si>
    <t xml:space="preserve">Quarterly plan with assumptions + held-open variables + falsifiers</t>
  </si>
  <si>
    <t xml:space="preserve">All leads; FIN-02; O-04</t>
  </si>
  <si>
    <t xml:space="preserve">Plan vs actual monthly variance</t>
  </si>
  <si>
    <t xml:space="preserve">Plan approval → G-00</t>
  </si>
  <si>
    <t xml:space="preserve">Plans with no falsifier; growth outrunning infrastructure</t>
  </si>
  <si>
    <t xml:space="preserve">Canon: dept function (quarterly direction) + algorithm</t>
  </si>
  <si>
    <t xml:space="preserve">v5.1 L2744–2765</t>
  </si>
  <si>
    <t xml:space="preserve">STR-04</t>
  </si>
  <si>
    <t xml:space="preserve">Competitive Positioning &amp; Market Analyst</t>
  </si>
  <si>
    <t xml:space="preserve">Reads supply/demand signals, price mechanisms and market cycle phase; states positioning and the conditions under which it would be wrong.</t>
  </si>
  <si>
    <t xml:space="preserve">Domain 7 Economic / Market Process Algorithm</t>
  </si>
  <si>
    <t xml:space="preserve">Quarterly; competitor move; pricing pressure</t>
  </si>
  <si>
    <t xml:space="preserve">Positioning brief; market-cycle phase; live falsifier triggers</t>
  </si>
  <si>
    <t xml:space="preserve">STR-03; FIN-06; MKT-04</t>
  </si>
  <si>
    <t xml:space="preserve">Positioning falsifiers monitored</t>
  </si>
  <si>
    <t xml:space="preserve">Positioning choice → G-00</t>
  </si>
  <si>
    <t xml:space="preserve">Hyper-acquisition or hyper-caution</t>
  </si>
  <si>
    <t xml:space="preserve">Canon: dept function (competitive positioning) + algorithm</t>
  </si>
  <si>
    <t xml:space="preserve">v5.1 L588–601; L3198–3217</t>
  </si>
  <si>
    <t xml:space="preserve">STR-05</t>
  </si>
  <si>
    <t xml:space="preserve">Risk Manager</t>
  </si>
  <si>
    <t xml:space="preserve">Keeps the risk register across the four pillars, prioritises cascade (Texas-grid) risks regardless of probability, defines a downgrade path for every major risk, instruments early warnings, reviews monthly.</t>
  </si>
  <si>
    <t xml:space="preserve">Risk Management Algorithm</t>
  </si>
  <si>
    <t xml:space="preserve">Monthly; new dependency (vendor, platform, person); scale move</t>
  </si>
  <si>
    <t xml:space="preserve">Risk register; downgrade paths; warning signals</t>
  </si>
  <si>
    <t xml:space="preserve">O-11; OPS-04; TEC-06; FIN-01</t>
  </si>
  <si>
    <t xml:space="preserve">Major risks with a tested downgrade path</t>
  </si>
  <si>
    <t xml:space="preserve">Risk appetite → G-00</t>
  </si>
  <si>
    <t xml:space="preserve">Single points of failure; assumed probabilities</t>
  </si>
  <si>
    <t xml:space="preserve">Derived placement (Risk algorithm has no named hub)</t>
  </si>
  <si>
    <t xml:space="preserve">v5.1 L3489–3506</t>
  </si>
  <si>
    <t xml:space="preserve">STR-06</t>
  </si>
  <si>
    <t xml:space="preserve">Innovation &amp; R&amp;D Agent</t>
  </si>
  <si>
    <t xml:space="preserve">Works the boundary of held-open variables: generates options unfiltered, falsifies cheapest-first, builds MVPs, field-tests, integrates failed prototypes.</t>
  </si>
  <si>
    <t xml:space="preserve">Innovation and R&amp;D Algorithm</t>
  </si>
  <si>
    <t xml:space="preserve">Quarterly innovation cycle; violated principle found in current solution</t>
  </si>
  <si>
    <t xml:space="preserve">Tested MVPs; innovation log</t>
  </si>
  <si>
    <t xml:space="preserve">STR-03; TEC-07; CON-01</t>
  </si>
  <si>
    <t xml:space="preserve">Options falsified per cycle; MVPs field-tested</t>
  </si>
  <si>
    <t xml:space="preserve">Investment in an MVP → G-00</t>
  </si>
  <si>
    <t xml:space="preserve">Filtering during ideation; lab-only validation</t>
  </si>
  <si>
    <t xml:space="preserve">Derived placement (Innovation algorithm has no named hub)</t>
  </si>
  <si>
    <t xml:space="preserve">v5.1 L3465–3486</t>
  </si>
  <si>
    <t xml:space="preserve">MKT-00</t>
  </si>
  <si>
    <t xml:space="preserve">Marketing Hub Lead (ACE Acquisition owner)</t>
  </si>
  <si>
    <t xml:space="preserve">2 · Marketing Hub</t>
  </si>
  <si>
    <t xml:space="preserve">2nd→1st</t>
  </si>
  <si>
    <t xml:space="preserve">Yang — outward</t>
  </si>
  <si>
    <t xml:space="preserve">Owns ACE Stage 01 — everything that grabs attention and brings it into the system — balancing Yang outbound and Yin inbound. Owns this hub's four-pillar self-score and its coordination score with the other eight hubs.</t>
  </si>
  <si>
    <t xml:space="preserve">Layer VII step 1 (Acquisition); Layer V (department row); Layer VI for the hub</t>
  </si>
  <si>
    <t xml:space="preserve">Top-of-funnel volume by channel; hub BEAS row /4 + coordination /1</t>
  </si>
  <si>
    <t xml:space="preserve">Canon: department (Lead generation, traffic, attention, brand awareness, content distribution)</t>
  </si>
  <si>
    <t xml:space="preserve">MKT-01</t>
  </si>
  <si>
    <t xml:space="preserve">Outbound Lead Generation Agent (Yang)</t>
  </si>
  <si>
    <t xml:space="preserve">Runs active outreach so top-of-funnel never depends on inbound alone; qualifies before volume.</t>
  </si>
  <si>
    <t xml:space="preserve">Layer VII Acquisition (Yang outbound)</t>
  </si>
  <si>
    <t xml:space="preserve">Weekly outreach plan</t>
  </si>
  <si>
    <t xml:space="preserve">Outreach sequences; booked conversations</t>
  </si>
  <si>
    <t xml:space="preserve">SAL-01; SAL-02</t>
  </si>
  <si>
    <t xml:space="preserve">Lead Connector (GHL)</t>
  </si>
  <si>
    <t xml:space="preserve">Outreach-sourced qualified leads</t>
  </si>
  <si>
    <t xml:space="preserve">Outreach targeting/compliance → G-00</t>
  </si>
  <si>
    <t xml:space="preserve">Aggressive outreach without qualification (excess Yang)</t>
  </si>
  <si>
    <t xml:space="preserve">Canon: ACE Acquisition</t>
  </si>
  <si>
    <t xml:space="preserve">v5.1 L1593–1597</t>
  </si>
  <si>
    <t xml:space="preserve">MKT-02</t>
  </si>
  <si>
    <t xml:space="preserve">Inbound Traffic &amp; Funnel Agent (Yin)</t>
  </si>
  <si>
    <t xml:space="preserve">Builds and optimizes inbound systems (traffic, landing pages, forms) that capture attention without manual effort.</t>
  </si>
  <si>
    <t xml:space="preserve">Layer VII Acquisition (Yin inbound); Shepherd's Way for each funnel build</t>
  </si>
  <si>
    <t xml:space="preserve">New campaign; funnel conversion drop</t>
  </si>
  <si>
    <t xml:space="preserve">Live inbound funnels feeding Lead Connector</t>
  </si>
  <si>
    <t xml:space="preserve">MKT-03; SAL-01</t>
  </si>
  <si>
    <t xml:space="preserve">Inbound leads by source; funnel conversion</t>
  </si>
  <si>
    <t xml:space="preserve">Spend approval → G-00</t>
  </si>
  <si>
    <t xml:space="preserve">Perfect inbound system with no outreach (excess Yin)</t>
  </si>
  <si>
    <t xml:space="preserve">Canon: dept function (traffic) + ACE Acquisition</t>
  </si>
  <si>
    <t xml:space="preserve">v5.1 L1379; L1593–1597</t>
  </si>
  <si>
    <t xml:space="preserve">MKT-03</t>
  </si>
  <si>
    <t xml:space="preserve">Lead Capture, Tagging &amp; Channel ROI Agent</t>
  </si>
  <si>
    <t xml:space="preserve">Centralizes every lead channel into Lead Connector, tags each lead with source, campaign and hot buttons at capture, tracks channel ROI at capture and recommends reallocation to the highest converters.</t>
  </si>
  <si>
    <t xml:space="preserve">Layer VII step 1; Sales Algorithm step 1</t>
  </si>
  <si>
    <t xml:space="preserve">Every new lead; weekly ROI review</t>
  </si>
  <si>
    <t xml:space="preserve">Fully-attributed lead records; channel ROI report; reallocation recommendation</t>
  </si>
  <si>
    <t xml:space="preserve">SAL-01; FIN-02</t>
  </si>
  <si>
    <t xml:space="preserve">Leads with full source attribution (target 100%); ROI per channel</t>
  </si>
  <si>
    <t xml:space="preserve">Budget reallocation → G-00</t>
  </si>
  <si>
    <t xml:space="preserve">Untracked channels; untagged leads</t>
  </si>
  <si>
    <t xml:space="preserve">Canon: ACE core actions</t>
  </si>
  <si>
    <t xml:space="preserve">v5.1 L1595; L2523</t>
  </si>
  <si>
    <t xml:space="preserve">MKT-04</t>
  </si>
  <si>
    <t xml:space="preserve">Brand Awareness Agent</t>
  </si>
  <si>
    <t xml:space="preserve">Extends brand reach at the brand's frequency to frequency-matched audiences; keeps every touchpoint consistent (Correspondence).</t>
  </si>
  <si>
    <t xml:space="preserve">Brand and Identity Algorithm (steps 3, 6); Influence</t>
  </si>
  <si>
    <t xml:space="preserve">Campaign planning; brand-consistency audit</t>
  </si>
  <si>
    <t xml:space="preserve">Awareness campaigns; touchpoint consistency audit</t>
  </si>
  <si>
    <t xml:space="preserve">CON-04; MKT-05</t>
  </si>
  <si>
    <t xml:space="preserve">Touchpoints passing consistency audit</t>
  </si>
  <si>
    <t xml:space="preserve">Brand claims → G-00</t>
  </si>
  <si>
    <t xml:space="preserve">Inconsistent touchpoints dissipating the frequency</t>
  </si>
  <si>
    <t xml:space="preserve">Canon: dept function (brand awareness)</t>
  </si>
  <si>
    <t xml:space="preserve">v5.1 L1379; L3405–3422</t>
  </si>
  <si>
    <t xml:space="preserve">MKT-05</t>
  </si>
  <si>
    <t xml:space="preserve">Content Distribution Agent</t>
  </si>
  <si>
    <t xml:space="preserve">Distributes Content Hub output (case studies, recordings, articles, University material) across channels on a rhythm.</t>
  </si>
  <si>
    <t xml:space="preserve">Five Modes — Mode 2 Demonstration distribution; Communication algorithm</t>
  </si>
  <si>
    <t xml:space="preserve">New content asset approved by CON</t>
  </si>
  <si>
    <t xml:space="preserve">Distribution schedule; published posts</t>
  </si>
  <si>
    <t xml:space="preserve">MKT-03 (attribution)</t>
  </si>
  <si>
    <t xml:space="preserve">Assets distributed per schedule; engagement</t>
  </si>
  <si>
    <t xml:space="preserve">Promises without proof (Mode 2 absent)</t>
  </si>
  <si>
    <t xml:space="preserve">Canon: dept function (content distribution)</t>
  </si>
  <si>
    <t xml:space="preserve">v5.1 L1379; L1305–1309</t>
  </si>
  <si>
    <t xml:space="preserve">MKT-06</t>
  </si>
  <si>
    <t xml:space="preserve">Communications, Speaking &amp; Influence Agent</t>
  </si>
  <si>
    <t xml:space="preserve">Prepares talks, webinars, announcements and key messages: audience frequency first, gradient, density, rhythm, and a specific cause (call to action) at the end.</t>
  </si>
  <si>
    <t xml:space="preserve">Communication and Speaking; Public Speaking Algorithm</t>
  </si>
  <si>
    <t xml:space="preserve">Event/webinar/announcement scheduled</t>
  </si>
  <si>
    <t xml:space="preserve">Talk structure, script, post-event review</t>
  </si>
  <si>
    <t xml:space="preserve">MKT-05; CON-02</t>
  </si>
  <si>
    <t xml:space="preserve">Audience actions taken after talks</t>
  </si>
  <si>
    <t xml:space="preserve">Delivery is human (G-00 or spokesperson)</t>
  </si>
  <si>
    <t xml:space="preserve">Frequency mismatch in the opening</t>
  </si>
  <si>
    <t xml:space="preserve">Derived placement (communication algorithms)</t>
  </si>
  <si>
    <t xml:space="preserve">v5.1 L3026–3045; L3799–3816</t>
  </si>
  <si>
    <t xml:space="preserve">SAL-00</t>
  </si>
  <si>
    <t xml:space="preserve">Sales Hub Lead (ACE Creation owner)</t>
  </si>
  <si>
    <t xml:space="preserve">3 · Sales Hub</t>
  </si>
  <si>
    <t xml:space="preserve">Yang — converting</t>
  </si>
  <si>
    <t xml:space="preserve">Owns ACE Stage 02 — converting attention into a deal — and the full Sales Algorithm. 'Process beats pitch, always.' Owns this hub's four-pillar self-score and its coordination score with the other eight hubs.</t>
  </si>
  <si>
    <t xml:space="preserve">Layer VII ACE System Algorithm; Sales Algorithm; Layer V (department row); Layer VI for the hub</t>
  </si>
  <si>
    <t xml:space="preserve">Close rate; revenue; hub BEAS row /4 + coordination /1</t>
  </si>
  <si>
    <t xml:space="preserve">Canon: department (Offer architecture, pipeline, sales scripts, ACE System, revenue generation)</t>
  </si>
  <si>
    <t xml:space="preserve">SAL-01</t>
  </si>
  <si>
    <t xml:space="preserve">Instant Response Agent</t>
  </si>
  <si>
    <t xml:space="preserve">Replies to every inbound lead instantly — zero lag automated first contact — and moves it to 'Contacted'.</t>
  </si>
  <si>
    <t xml:space="preserve">Sales Algorithm step 2; ACE Acquisition (Flows AI)</t>
  </si>
  <si>
    <t xml:space="preserve">New lead lands in Lead Connector</t>
  </si>
  <si>
    <t xml:space="preserve">First-contact message sent; stage = Contacted</t>
  </si>
  <si>
    <t xml:space="preserve">SAL-02</t>
  </si>
  <si>
    <t xml:space="preserve">Flows AI; Lead Connector (GHL)</t>
  </si>
  <si>
    <t xml:space="preserve">Time-to-first-response (target: instant)</t>
  </si>
  <si>
    <t xml:space="preserve">Lag on inbound leads</t>
  </si>
  <si>
    <t xml:space="preserve">v5.1 L1595; L2627</t>
  </si>
  <si>
    <t xml:space="preserve">Lead Qualification Agent</t>
  </si>
  <si>
    <t xml:space="preserve">Qualifies quickly through automated short surveys; moves lead to Qualified or recycles to nurture.</t>
  </si>
  <si>
    <t xml:space="preserve">ACE Acquisition (qualify via short surveys)</t>
  </si>
  <si>
    <t xml:space="preserve">Lead contacted</t>
  </si>
  <si>
    <t xml:space="preserve">Qualification result; stage = Qualified</t>
  </si>
  <si>
    <t xml:space="preserve">SAL-04</t>
  </si>
  <si>
    <t xml:space="preserve">Lead Connector (GHL); Flows AI</t>
  </si>
  <si>
    <t xml:space="preserve">Qualified rate; survey completion</t>
  </si>
  <si>
    <t xml:space="preserve">Qualification criteria → G-00</t>
  </si>
  <si>
    <t xml:space="preserve">Unqualified volume reaching calls</t>
  </si>
  <si>
    <t xml:space="preserve">v5.1 L1595</t>
  </si>
  <si>
    <t xml:space="preserve">SAL-03</t>
  </si>
  <si>
    <t xml:space="preserve">Pipeline Manager Agent</t>
  </si>
  <si>
    <t xml:space="preserve">Maintains the 8-stage pipeline (New Lead → Contacted → Qualified → Appointment Set → Show → Proposal → Closed Won / Closed Lost) with a follow-up automation on every stage so no lead falls through without a trigger.</t>
  </si>
  <si>
    <t xml:space="preserve">ACE GHL Architecture; Layer VII step 5 (document every interaction)</t>
  </si>
  <si>
    <t xml:space="preserve">Stage change; stalled lead; daily sweep</t>
  </si>
  <si>
    <t xml:space="preserve">Clean pipeline; follow-up triggers fired</t>
  </si>
  <si>
    <t xml:space="preserve">SAL-12; TEC-03</t>
  </si>
  <si>
    <t xml:space="preserve">Leads without an active trigger (target 0)</t>
  </si>
  <si>
    <t xml:space="preserve">Leads falling through</t>
  </si>
  <si>
    <t xml:space="preserve">Canon: pipeline table</t>
  </si>
  <si>
    <t xml:space="preserve">v5.1 L1596; L2531</t>
  </si>
  <si>
    <t xml:space="preserve">Appointment &amp; Show-Rate Agent</t>
  </si>
  <si>
    <t xml:space="preserve">Books qualified leads into calls and drives show-up (reminders, confirmations, reschedules).</t>
  </si>
  <si>
    <t xml:space="preserve">ACE pipeline stages Appointment Set → Show</t>
  </si>
  <si>
    <t xml:space="preserve">Lead qualified</t>
  </si>
  <si>
    <t xml:space="preserve">Booked appointment; reminders; show/no-show logged</t>
  </si>
  <si>
    <t xml:space="preserve">SAL-05</t>
  </si>
  <si>
    <t xml:space="preserve">Booking rate; show rate</t>
  </si>
  <si>
    <t xml:space="preserve">No-shows with no follow-up</t>
  </si>
  <si>
    <t xml:space="preserve">v5.1 L1596</t>
  </si>
  <si>
    <t xml:space="preserve">Sales Call Copilot (7-Step Script)</t>
  </si>
  <si>
    <t xml:space="preserve">Supports the human closer through the 7-step script — Permission, Discovery, Pain Excavation, Vision Pull, Solution Bridge, Offer + Stack, Close + Handoff — honoring each step's Yin/Yang phase. Prepares pre-call briefs; prompts future pacing.</t>
  </si>
  <si>
    <t xml:space="preserve">Sales Algorithm steps 3–7; Layer VII step 2; 7-Step Script</t>
  </si>
  <si>
    <t xml:space="preserve">Show confirmed</t>
  </si>
  <si>
    <t xml:space="preserve">Pre-call brief; live step prompts; call notes</t>
  </si>
  <si>
    <t xml:space="preserve">SAL-06; SAL-08; SAL-09</t>
  </si>
  <si>
    <t xml:space="preserve">Step-level conversion</t>
  </si>
  <si>
    <t xml:space="preserve">The conversation is human-led ('the human magic happens here')</t>
  </si>
  <si>
    <t xml:space="preserve">Presenting before discovery</t>
  </si>
  <si>
    <t xml:space="preserve">Canon: script table</t>
  </si>
  <si>
    <t xml:space="preserve">v5.1 L1600–1623; L2620–2647</t>
  </si>
  <si>
    <t xml:space="preserve">SAL-06</t>
  </si>
  <si>
    <t xml:space="preserve">Objection Handling Coach (I.A.C.E.)</t>
  </si>
  <si>
    <t xml:space="preserve">Treats every objection as a variable: Isolate the real one, Acknowledge (match frequency), Clarify precisely, Eliminate with evidence or Escalate honestly. Maintains the objection library.</t>
  </si>
  <si>
    <t xml:space="preserve">I.A.C.E. Objection Loop; Sales Algorithm step 9</t>
  </si>
  <si>
    <t xml:space="preserve">Objection raised on call or in writing</t>
  </si>
  <si>
    <t xml:space="preserve">Objection resolution or honest escalation; library entry</t>
  </si>
  <si>
    <t xml:space="preserve">SAL-05; O-10</t>
  </si>
  <si>
    <t xml:space="preserve">Objections resolved vs escalated; library growth</t>
  </si>
  <si>
    <t xml:space="preserve">Escalate (walk-away) decision → human closer</t>
  </si>
  <si>
    <t xml:space="preserve">Pressure that collapses the middle</t>
  </si>
  <si>
    <t xml:space="preserve">Canon: I.A.C.E. table</t>
  </si>
  <si>
    <t xml:space="preserve">v5.1 L1626–1637</t>
  </si>
  <si>
    <t xml:space="preserve">SAL-07</t>
  </si>
  <si>
    <t xml:space="preserve">Offer Architect</t>
  </si>
  <si>
    <t xml:space="preserve">Maintains the three-tier offer stack — Tier 1 Software Only, Tier 2 Done-For-You, Tier 3 Custom Enterprise — so every prospect has a landing point and can self-select.</t>
  </si>
  <si>
    <t xml:space="preserve">ACE Offer Architecture; Sales Algorithm step 8</t>
  </si>
  <si>
    <t xml:space="preserve">Quarterly offer review; repeated 'no landing point' losses</t>
  </si>
  <si>
    <t xml:space="preserve">Offer stack definitions; tier collateral</t>
  </si>
  <si>
    <t xml:space="preserve">FIN-06; SAL-05</t>
  </si>
  <si>
    <t xml:space="preserve">Tier mix; prospects with no fitting tier</t>
  </si>
  <si>
    <t xml:space="preserve">Offer changes → G-00</t>
  </si>
  <si>
    <t xml:space="preserve">Single-offer pipelines</t>
  </si>
  <si>
    <t xml:space="preserve">Canon: dept function (offer architecture)</t>
  </si>
  <si>
    <t xml:space="preserve">v5.1 L1609; L1380</t>
  </si>
  <si>
    <t xml:space="preserve">SAL-08</t>
  </si>
  <si>
    <t xml:space="preserve">Proposal &amp; Contract Generator</t>
  </si>
  <si>
    <t xml:space="preserve">Populates proposals and contracts from call notes; documents call notes, deliverables and contract terms.</t>
  </si>
  <si>
    <t xml:space="preserve">ACE Creation (AI populates contracts); Sales Algorithm step 10</t>
  </si>
  <si>
    <t xml:space="preserve">Call completed with verbal interest</t>
  </si>
  <si>
    <t xml:space="preserve">Draft proposal/contract; documented terms</t>
  </si>
  <si>
    <t xml:space="preserve">SAL-00 (approve); HRC-10 (legal check)</t>
  </si>
  <si>
    <t xml:space="preserve">Proposal turnaround time</t>
  </si>
  <si>
    <t xml:space="preserve">Sending/signing contracts → human</t>
  </si>
  <si>
    <t xml:space="preserve">Ambiguous terms filled with assumption</t>
  </si>
  <si>
    <t xml:space="preserve">v5.1 L1608; L2643</t>
  </si>
  <si>
    <t xml:space="preserve">SAL-09</t>
  </si>
  <si>
    <t xml:space="preserve">Call QA Agent</t>
  </si>
  <si>
    <t xml:space="preserve">Records and tags every call in Lead Connector, scores script adherence per step, feeds coaching.</t>
  </si>
  <si>
    <t xml:space="preserve">ACE Creation (record and tag all calls for QA)</t>
  </si>
  <si>
    <t xml:space="preserve">Call ends</t>
  </si>
  <si>
    <t xml:space="preserve">Tagged recording; QA score; coaching notes</t>
  </si>
  <si>
    <t xml:space="preserve">SAL-00; SAL-05</t>
  </si>
  <si>
    <t xml:space="preserve">Calls recorded+tagged (target 100%); adherence</t>
  </si>
  <si>
    <t xml:space="preserve">Unreviewed calls</t>
  </si>
  <si>
    <t xml:space="preserve">v5.1 L1608</t>
  </si>
  <si>
    <t xml:space="preserve">SAL-10</t>
  </si>
  <si>
    <t xml:space="preserve">Negotiation &amp; Influence Agent</t>
  </si>
  <si>
    <t xml:space="preserve">Prepares and supports negotiations (deals, partnerships, renewals): gradient, interests vs positions, polarity, dynamic middle, I.A.C.E., close or honestly walk away, document immediately.</t>
  </si>
  <si>
    <t xml:space="preserve">Negotiation Algorithm; Influence Algorithm</t>
  </si>
  <si>
    <t xml:space="preserve">Deal enters negotiation; partner/renewal talks</t>
  </si>
  <si>
    <t xml:space="preserve">Negotiation brief; documented agreement</t>
  </si>
  <si>
    <t xml:space="preserve">SAL-08; HRC-10</t>
  </si>
  <si>
    <t xml:space="preserve">Deals unwound later (buyer's remorse) — target 0</t>
  </si>
  <si>
    <t xml:space="preserve">Final terms → G-00</t>
  </si>
  <si>
    <t xml:space="preserve">Forced closes outside the dynamic middle</t>
  </si>
  <si>
    <t xml:space="preserve">Derived placement (Negotiation, Influence)</t>
  </si>
  <si>
    <t xml:space="preserve">v5.1 L2572–2591; L3839–3858</t>
  </si>
  <si>
    <t xml:space="preserve">SAL-11</t>
  </si>
  <si>
    <t xml:space="preserve">Sales-to-Onboarding Handoff Agent</t>
  </si>
  <si>
    <t xml:space="preserve">Moves Closed Won deals to onboarding with full context preserved (notes, pains, vision, tier, promises).</t>
  </si>
  <si>
    <t xml:space="preserve">Sales Algorithm step 11; 7-Step Script step 07 (handoff)</t>
  </si>
  <si>
    <t xml:space="preserve">Closed Won</t>
  </si>
  <si>
    <t xml:space="preserve">Handoff package; onboarding kickoff</t>
  </si>
  <si>
    <t xml:space="preserve">CS-01; FIN-05</t>
  </si>
  <si>
    <t xml:space="preserve">Handoffs with complete context (target 100%)</t>
  </si>
  <si>
    <t xml:space="preserve">Context lost between sales and delivery</t>
  </si>
  <si>
    <t xml:space="preserve">Canon: algorithm step</t>
  </si>
  <si>
    <t xml:space="preserve">v5.1 L2645</t>
  </si>
  <si>
    <t xml:space="preserve">SAL-12</t>
  </si>
  <si>
    <t xml:space="preserve">Funnel Conversion Analyst</t>
  </si>
  <si>
    <t xml:space="preserve">Measures conversion at every funnel step, identifies the lowest-conversion step and gets it fixed before anything else is optimized.</t>
  </si>
  <si>
    <t xml:space="preserve">Layer VII step 6</t>
  </si>
  <si>
    <t xml:space="preserve">Weekly</t>
  </si>
  <si>
    <t xml:space="preserve">Step-by-step conversion report; lowest step dispatched</t>
  </si>
  <si>
    <t xml:space="preserve">O-03; SAL-00</t>
  </si>
  <si>
    <t xml:space="preserve">Conversion per stage</t>
  </si>
  <si>
    <t xml:space="preserve">Optimizing anywhere but the lowest step</t>
  </si>
  <si>
    <t xml:space="preserve">v5.1 L2533</t>
  </si>
  <si>
    <t xml:space="preserve">OPS-00</t>
  </si>
  <si>
    <t xml:space="preserve">Operations Hub Lead</t>
  </si>
  <si>
    <t xml:space="preserve">4 · Operations Hub</t>
  </si>
  <si>
    <t xml:space="preserve">1st</t>
  </si>
  <si>
    <t xml:space="preserve">Yin/Yang balance</t>
  </si>
  <si>
    <t xml:space="preserve">Owns reliable delivery — the utilities and supply chain of the business. Owns this hub's four-pillar self-score and its coordination score with the other eight hubs.</t>
  </si>
  <si>
    <t xml:space="preserve">Project Management; Shepherd's Way; Layer V (department row); Layer VI for the hub</t>
  </si>
  <si>
    <t xml:space="preserve">On-time delivery; hub BEAS row /4 + coordination /1</t>
  </si>
  <si>
    <t xml:space="preserve">Canon: department (Fulfillment, delivery, quality control, project management)</t>
  </si>
  <si>
    <t xml:space="preserve">OPS-01</t>
  </si>
  <si>
    <t xml:space="preserve">Fulfillment &amp; Delivery Agent</t>
  </si>
  <si>
    <t xml:space="preserve">Delivers each product/service per the client blueprint and roadmap; logs every deliverable.</t>
  </si>
  <si>
    <t xml:space="preserve">Shepherd's Way Create step; Client Onboarding step 6</t>
  </si>
  <si>
    <t xml:space="preserve">Roadmap item due</t>
  </si>
  <si>
    <t xml:space="preserve">Delivered work; delivery log</t>
  </si>
  <si>
    <t xml:space="preserve">OPS-02; O-15</t>
  </si>
  <si>
    <t xml:space="preserve">On-time delivery rate</t>
  </si>
  <si>
    <t xml:space="preserve">Building before blueprint</t>
  </si>
  <si>
    <t xml:space="preserve">Canon: dept function (fulfillment, delivery)</t>
  </si>
  <si>
    <t xml:space="preserve">v5.1 L1381</t>
  </si>
  <si>
    <t xml:space="preserve">OPS-02</t>
  </si>
  <si>
    <t xml:space="preserve">Quality Control Agent (Correctness pillar)</t>
  </si>
  <si>
    <t xml:space="preserve">Enforces Pillar I: blueprint review before any build, automations tested before launch, SOP conformance, Komodo recording of every session.</t>
  </si>
  <si>
    <t xml:space="preserve">Pillar I Correctness 'In Practice'; Software Dev step 8 (falsifiability test)</t>
  </si>
  <si>
    <t xml:space="preserve">Before launch; before handoff to client</t>
  </si>
  <si>
    <t xml:space="preserve">QC pass/fail with defects</t>
  </si>
  <si>
    <t xml:space="preserve">OPS-01; TEC-02</t>
  </si>
  <si>
    <t xml:space="preserve">Komodo</t>
  </si>
  <si>
    <t xml:space="preserve">Defects escaping to clients; 97%→16% compounding awareness</t>
  </si>
  <si>
    <t xml:space="preserve">'Good enough' shortcuts</t>
  </si>
  <si>
    <t xml:space="preserve">Canon: dept function (quality control) + Pillar I</t>
  </si>
  <si>
    <t xml:space="preserve">v5.1 L1364; L1381</t>
  </si>
  <si>
    <t xml:space="preserve">OPS-03</t>
  </si>
  <si>
    <t xml:space="preserve">Project Manager Agent</t>
  </si>
  <si>
    <t xml:space="preserve">Runs projects: one-sentence outcome, phases with owner and falsifier, dependency graph, Fibonacci sequencing, critical path, project-level BEAS, weekly Shepherd's Way cycles, explicit scope-change logging, close with lessons.</t>
  </si>
  <si>
    <t xml:space="preserve">Project Management Algorithm</t>
  </si>
  <si>
    <t xml:space="preserve">Project approved</t>
  </si>
  <si>
    <t xml:space="preserve">Project plan, weekly cycle notes, scope log, close-out</t>
  </si>
  <si>
    <t xml:space="preserve">OPS-01; O-14; O-10</t>
  </si>
  <si>
    <t xml:space="preserve">Critical-path slip; scope changes logged</t>
  </si>
  <si>
    <t xml:space="preserve">Scope change acceptance → G-00/client</t>
  </si>
  <si>
    <t xml:space="preserve">Uncalibrated scope creep</t>
  </si>
  <si>
    <t xml:space="preserve">Canon: dept function (project management) + algorithm</t>
  </si>
  <si>
    <t xml:space="preserve">v5.1 L3359–3380</t>
  </si>
  <si>
    <t xml:space="preserve">OPS-04</t>
  </si>
  <si>
    <t xml:space="preserve">Vendor Manager Agent</t>
  </si>
  <si>
    <t xml:space="preserve">Selects and manages vendors and contractors on Correctness, Complexity and Resilience; ensures a downgrade path for each; documents contracts with variables held open; monthly performance review.</t>
  </si>
  <si>
    <t xml:space="preserve">Vendor Management Algorithm</t>
  </si>
  <si>
    <t xml:space="preserve">New vendor needed; monthly review</t>
  </si>
  <si>
    <t xml:space="preserve">Vendor scorecards; downgrade paths; contract notes</t>
  </si>
  <si>
    <t xml:space="preserve">STR-05; FIN-01; HRC-10</t>
  </si>
  <si>
    <t xml:space="preserve">Vendors with fallback (target 100%)</t>
  </si>
  <si>
    <t xml:space="preserve">Contracting → G-00</t>
  </si>
  <si>
    <t xml:space="preserve">Dependency on a single third party</t>
  </si>
  <si>
    <t xml:space="preserve">Derived placement (Vendor algorithm) — Resilience pillar</t>
  </si>
  <si>
    <t xml:space="preserve">v5.1 L3445–3462; L1367</t>
  </si>
  <si>
    <t xml:space="preserve">OPS-05</t>
  </si>
  <si>
    <t xml:space="preserve">Client Build Agent</t>
  </si>
  <si>
    <t xml:space="preserve">Executes the client build phase against the approved blueprint: every session recorded, every deliverable emailed same day.</t>
  </si>
  <si>
    <t xml:space="preserve">Immersion Model Build Phase; Client Onboarding step 6</t>
  </si>
  <si>
    <t xml:space="preserve">Blueprint approved</t>
  </si>
  <si>
    <t xml:space="preserve">Built systems; session recordings; same-day recaps</t>
  </si>
  <si>
    <t xml:space="preserve">O-15; CS-04</t>
  </si>
  <si>
    <t xml:space="preserve">Komodo; n8n; Lead Connector (GHL)</t>
  </si>
  <si>
    <t xml:space="preserve">Roadmap items delivered; recap compliance</t>
  </si>
  <si>
    <t xml:space="preserve">The wrong thing perfectly built</t>
  </si>
  <si>
    <t xml:space="preserve">Canon: Immersion table</t>
  </si>
  <si>
    <t xml:space="preserve">v5.1 L1340; L2687</t>
  </si>
  <si>
    <t xml:space="preserve">FIN-00</t>
  </si>
  <si>
    <t xml:space="preserve">Finance Hub Lead</t>
  </si>
  <si>
    <t xml:space="preserve">5 · Finance Hub</t>
  </si>
  <si>
    <t xml:space="preserve">1st→2nd</t>
  </si>
  <si>
    <t xml:space="preserve">Yin — control</t>
  </si>
  <si>
    <t xml:space="preserve">Owns capital control: stores, allocates and accounts for all capital flows. Owns this hub's four-pillar self-score and its coordination score with the other eight hubs.</t>
  </si>
  <si>
    <t xml:space="preserve">Financial Decisions; Layer V (department row); Layer VI for the hub</t>
  </si>
  <si>
    <t xml:space="preserve">Cash position vs plan; hub BEAS row /4 + coordination /1</t>
  </si>
  <si>
    <t xml:space="preserve">Canon: department (Capital management, budgeting, forecasting, reporting, commission, pricing)</t>
  </si>
  <si>
    <t xml:space="preserve">FIN-01</t>
  </si>
  <si>
    <t xml:space="preserve">Capital Manager</t>
  </si>
  <si>
    <t xml:space="preserve">Prepares capital-deployment decisions: Kingdom of origin, variables, gradient, information density, falsifier and reversal threshold, risk middle, documented rationale, monthly review.</t>
  </si>
  <si>
    <t xml:space="preserve">Financial Decisions Algorithm</t>
  </si>
  <si>
    <t xml:space="preserve">Spend/investment/financing decision</t>
  </si>
  <si>
    <t xml:space="preserve">Capital decision brief; monthly outcome review</t>
  </si>
  <si>
    <t xml:space="preserve">G-00; O-16</t>
  </si>
  <si>
    <t xml:space="preserve">Decisions with reversal threshold</t>
  </si>
  <si>
    <t xml:space="preserve">Capital deployment → G-00</t>
  </si>
  <si>
    <t xml:space="preserve">Conservative collapse or aggressive ruin</t>
  </si>
  <si>
    <t xml:space="preserve">Canon: dept function (capital management) + algorithm</t>
  </si>
  <si>
    <t xml:space="preserve">v5.1 L2836–2857</t>
  </si>
  <si>
    <t xml:space="preserve">FIN-02</t>
  </si>
  <si>
    <t xml:space="preserve">Budgeting Agent</t>
  </si>
  <si>
    <t xml:space="preserve">Builds and maintains budgets aligned to the quarterly plan and the Fibonacci build sequence; flags overruns.</t>
  </si>
  <si>
    <t xml:space="preserve">Strategic Planning step 6 (BEAS by step); Financial Decisions</t>
  </si>
  <si>
    <t xml:space="preserve">Quarter start; monthly close</t>
  </si>
  <si>
    <t xml:space="preserve">Budget; variance report</t>
  </si>
  <si>
    <t xml:space="preserve">FIN-00; STR-03</t>
  </si>
  <si>
    <t xml:space="preserve">Budget variance</t>
  </si>
  <si>
    <t xml:space="preserve">Budget approval → G-00</t>
  </si>
  <si>
    <t xml:space="preserve">Revenue chased at expense of infrastructure</t>
  </si>
  <si>
    <t xml:space="preserve">Canon: dept function (budgeting)</t>
  </si>
  <si>
    <t xml:space="preserve">v5.1 L1382</t>
  </si>
  <si>
    <t xml:space="preserve">FIN-03</t>
  </si>
  <si>
    <t xml:space="preserve">Forecasting Agent</t>
  </si>
  <si>
    <t xml:space="preserve">Forecasts revenue, cash and capacity with precise variable, date and confidence interval; states falsifiers; reviews accuracy each cycle.</t>
  </si>
  <si>
    <t xml:space="preserve">Forecasting Algorithm</t>
  </si>
  <si>
    <t xml:space="preserve">Monthly; plan revision</t>
  </si>
  <si>
    <t xml:space="preserve">Forecast with assumptions and falsifiers; accuracy review</t>
  </si>
  <si>
    <t xml:space="preserve">Forecast error trend</t>
  </si>
  <si>
    <t xml:space="preserve">Confident-seeming guesses filling assumed variables</t>
  </si>
  <si>
    <t xml:space="preserve">Canon: dept function (forecasting) + algorithm</t>
  </si>
  <si>
    <t xml:space="preserve">v5.1 L3749–3768</t>
  </si>
  <si>
    <t xml:space="preserve">FIN-04</t>
  </si>
  <si>
    <t xml:space="preserve">Financial Reporting Agent</t>
  </si>
  <si>
    <t xml:space="preserve">Produces monthly financial reports from documented records; feeds BEAS Finance row evidence.</t>
  </si>
  <si>
    <t xml:space="preserve">Database step; Layer I.F (institutional record)</t>
  </si>
  <si>
    <t xml:space="preserve">Month end</t>
  </si>
  <si>
    <t xml:space="preserve">P&amp;L, cash-flow, KPI pack</t>
  </si>
  <si>
    <t xml:space="preserve">FIN-00; O-04</t>
  </si>
  <si>
    <t xml:space="preserve">Report delivered on schedule</t>
  </si>
  <si>
    <t xml:space="preserve">Undocumented capital flows</t>
  </si>
  <si>
    <t xml:space="preserve">Canon: dept function (reporting)</t>
  </si>
  <si>
    <t xml:space="preserve">FIN-05</t>
  </si>
  <si>
    <t xml:space="preserve">Commission Agent</t>
  </si>
  <si>
    <t xml:space="preserve">Calculates and records commissions from Closed Won data and agreed plans.</t>
  </si>
  <si>
    <t xml:space="preserve">Database step (documented, auditable)</t>
  </si>
  <si>
    <t xml:space="preserve">Closed Won; pay period</t>
  </si>
  <si>
    <t xml:space="preserve">Commission statements</t>
  </si>
  <si>
    <t xml:space="preserve">HRC-02; FIN-04</t>
  </si>
  <si>
    <t xml:space="preserve">Commission disputes</t>
  </si>
  <si>
    <t xml:space="preserve">Plan rules and payouts → human</t>
  </si>
  <si>
    <t xml:space="preserve">Tribal-knowledge comp rules</t>
  </si>
  <si>
    <t xml:space="preserve">Canon: dept function (commission)</t>
  </si>
  <si>
    <t xml:space="preserve">FIN-06</t>
  </si>
  <si>
    <t xml:space="preserve">Pricing Agent</t>
  </si>
  <si>
    <t xml:space="preserve">Maintains pricing for the three tiers and the $297 downgrade path; reads price signals; documents rationale.</t>
  </si>
  <si>
    <t xml:space="preserve">Domain 7 step 2 (price mechanism); Offer Architecture; Expansion downgrade path</t>
  </si>
  <si>
    <t xml:space="preserve">Quarterly; offer change</t>
  </si>
  <si>
    <t xml:space="preserve">Price book; rationale</t>
  </si>
  <si>
    <t xml:space="preserve">SAL-07; CS-08</t>
  </si>
  <si>
    <t xml:space="preserve">Price realization; downgrades vs cancellations</t>
  </si>
  <si>
    <t xml:space="preserve">Price changes → G-00</t>
  </si>
  <si>
    <t xml:space="preserve">Prices set by assumption</t>
  </si>
  <si>
    <t xml:space="preserve">Canon: dept function (pricing)</t>
  </si>
  <si>
    <t xml:space="preserve">v5.1 L1382; L1609; L1648</t>
  </si>
  <si>
    <t xml:space="preserve">FIN-07</t>
  </si>
  <si>
    <t xml:space="preserve">Capital Flow Accounting &amp; Collections Agent</t>
  </si>
  <si>
    <t xml:space="preserve">Accounts for all capital flows (invoicing, receipts, payables, reconciliation) so the Treasury function is complete.</t>
  </si>
  <si>
    <t xml:space="preserve">Civil equivalent: Treasury &amp; Banking — 'stores, allocates, and accounts for all capital flows'</t>
  </si>
  <si>
    <t xml:space="preserve">Invoice due; payment received; month end</t>
  </si>
  <si>
    <t xml:space="preserve">Reconciled ledger; collections notices</t>
  </si>
  <si>
    <t xml:space="preserve">Days sales outstanding (threshold held open)</t>
  </si>
  <si>
    <t xml:space="preserve">Write-offs → G-00</t>
  </si>
  <si>
    <t xml:space="preserve">Unaccounted flows</t>
  </si>
  <si>
    <t xml:space="preserve">Derived from canon civil-map function</t>
  </si>
  <si>
    <t xml:space="preserve">v5.1 L435–450</t>
  </si>
  <si>
    <t xml:space="preserve">HRC-00</t>
  </si>
  <si>
    <t xml:space="preserve">HR &amp; Culture Hub Lead</t>
  </si>
  <si>
    <t xml:space="preserve">6 · HR &amp; Culture Hub</t>
  </si>
  <si>
    <t xml:space="preserve">Yin — standards</t>
  </si>
  <si>
    <t xml:space="preserve">Owns standards, dispute resolution and human development — the courts and labor institutions of the business. Owns this hub's four-pillar self-score and its coordination score with the other eight hubs.</t>
  </si>
  <si>
    <t xml:space="preserve">Hiring; Governance; Layer V (department row); Layer VI for the hub</t>
  </si>
  <si>
    <t xml:space="preserve">Role coverage; retention; hub BEAS row /4 + coordination /1</t>
  </si>
  <si>
    <t xml:space="preserve">Canon: department (Hiring, onboarding, performance, culture, compensation, org design)</t>
  </si>
  <si>
    <t xml:space="preserve">HRC-01</t>
  </si>
  <si>
    <t xml:space="preserve">Recruiting Agent</t>
  </si>
  <si>
    <t xml:space="preserve">Runs Hiring steps 1–7: role's structural purpose, four-pillar requirements, multi-channel sourcing without premature filtering, pillar scoring, Three Kingdoms diagnosis, frequency match, reference checks.</t>
  </si>
  <si>
    <t xml:space="preserve">Hiring Algorithm steps 1–7</t>
  </si>
  <si>
    <t xml:space="preserve">Role approved</t>
  </si>
  <si>
    <t xml:space="preserve">Scored shortlist; reference reports</t>
  </si>
  <si>
    <t xml:space="preserve">HRC-02; G-00</t>
  </si>
  <si>
    <t xml:space="preserve">Time-to-shortlist; pillar-scored candidates</t>
  </si>
  <si>
    <t xml:space="preserve">Hire decision → G-00</t>
  </si>
  <si>
    <t xml:space="preserve">Premature filtering; skipped references</t>
  </si>
  <si>
    <t xml:space="preserve">Canon: dept function (hiring) + algorithm</t>
  </si>
  <si>
    <t xml:space="preserve">v5.1 L2650–2671</t>
  </si>
  <si>
    <t xml:space="preserve">HRC-02</t>
  </si>
  <si>
    <t xml:space="preserve">Offer &amp; Compensation Agent</t>
  </si>
  <si>
    <t xml:space="preserve">Builds offers at the dynamic middle of compensation — enough to attract, not distorting internal equity; maintains compensation structure.</t>
  </si>
  <si>
    <t xml:space="preserve">Hiring step 8</t>
  </si>
  <si>
    <t xml:space="preserve">Candidate selected; comp review cycle</t>
  </si>
  <si>
    <t xml:space="preserve">Offer draft; comp bands</t>
  </si>
  <si>
    <t xml:space="preserve">G-00; FIN-05</t>
  </si>
  <si>
    <t xml:space="preserve">Internal equity flags</t>
  </si>
  <si>
    <t xml:space="preserve">Compensation numbers → G-00</t>
  </si>
  <si>
    <t xml:space="preserve">Distorted internal equity</t>
  </si>
  <si>
    <t xml:space="preserve">Canon: dept function (compensation)</t>
  </si>
  <si>
    <t xml:space="preserve">v5.1 L2667</t>
  </si>
  <si>
    <t xml:space="preserve">HRC-03</t>
  </si>
  <si>
    <t xml:space="preserve">Employee Onboarding Agent (Immersion for hires)</t>
  </si>
  <si>
    <t xml:space="preserve">Onboards hires via the Immersion Model: full data capture, structured intake, blueprint of role expectations, documented playbook.</t>
  </si>
  <si>
    <t xml:space="preserve">Hiring step 9; Immersion Model</t>
  </si>
  <si>
    <t xml:space="preserve">Offer accepted</t>
  </si>
  <si>
    <t xml:space="preserve">Role blueprint; playbook; onboarding plan</t>
  </si>
  <si>
    <t xml:space="preserve">HRC-04; HRC-07</t>
  </si>
  <si>
    <t xml:space="preserve">Time-to-productivity</t>
  </si>
  <si>
    <t xml:space="preserve">Building on incomplete information</t>
  </si>
  <si>
    <t xml:space="preserve">Canon: dept function (onboarding) + algorithm step</t>
  </si>
  <si>
    <t xml:space="preserve">v5.1 L2669; L1327–1340</t>
  </si>
  <si>
    <t xml:space="preserve">HRC-04</t>
  </si>
  <si>
    <t xml:space="preserve">Performance Review Agent</t>
  </si>
  <si>
    <t xml:space="preserve">Runs probationary reviews at 30/60/90 days and ongoing reviews, applying BEAS (four pillars) to role fit.</t>
  </si>
  <si>
    <t xml:space="preserve">Hiring step 10</t>
  </si>
  <si>
    <t xml:space="preserve">Day 30/60/90; review cycle</t>
  </si>
  <si>
    <t xml:space="preserve">Role-fit BEAS; development actions</t>
  </si>
  <si>
    <t xml:space="preserve">HRC-00; HRC-07</t>
  </si>
  <si>
    <t xml:space="preserve">Reviews on time</t>
  </si>
  <si>
    <t xml:space="preserve">Employment decisions → G-00</t>
  </si>
  <si>
    <t xml:space="preserve">Unmeasured role fit</t>
  </si>
  <si>
    <t xml:space="preserve">Canon: dept function (performance)</t>
  </si>
  <si>
    <t xml:space="preserve">v5.1 L2671</t>
  </si>
  <si>
    <t xml:space="preserve">HRC-05</t>
  </si>
  <si>
    <t xml:space="preserve">Culture &amp; Ritual Steward (Mode 5)</t>
  </si>
  <si>
    <t xml:space="preserve">Designs and documents team rituals and norms so processes become cultural assumptions (Propagation Mode 5 — Cultural Embedding).</t>
  </si>
  <si>
    <t xml:space="preserve">Ritual Design Algorithm; Five Modes — Mode 5</t>
  </si>
  <si>
    <t xml:space="preserve">Culture review; new team ritual needed</t>
  </si>
  <si>
    <t xml:space="preserve">Documented rituals; culture norms</t>
  </si>
  <si>
    <t xml:space="preserve">CON-03; CS-11</t>
  </si>
  <si>
    <t xml:space="preserve">Rituals sustained; documented norms</t>
  </si>
  <si>
    <t xml:space="preserve">Culture living only in the founder</t>
  </si>
  <si>
    <t xml:space="preserve">Canon: dept function (culture)</t>
  </si>
  <si>
    <t xml:space="preserve">v5.1 L3887–3904; L1309</t>
  </si>
  <si>
    <t xml:space="preserve">HRC-06</t>
  </si>
  <si>
    <t xml:space="preserve">Org Design Agent</t>
  </si>
  <si>
    <t xml:space="preserve">Designs roles, reporting lines and the human/agent org structure; keeps this agent map current.</t>
  </si>
  <si>
    <t xml:space="preserve">Governance Design; Layer III Process Density (coupling); Three Kingdoms</t>
  </si>
  <si>
    <t xml:space="preserve">Growth step; repeated hand-off failures</t>
  </si>
  <si>
    <t xml:space="preserve">Org chart; role charters</t>
  </si>
  <si>
    <t xml:space="preserve">G-06; HRC-00</t>
  </si>
  <si>
    <t xml:space="preserve">Roles with a written charter</t>
  </si>
  <si>
    <t xml:space="preserve">Structure changes → G-00</t>
  </si>
  <si>
    <t xml:space="preserve">Key-person dependencies</t>
  </si>
  <si>
    <t xml:space="preserve">Canon: dept function (org design)</t>
  </si>
  <si>
    <t xml:space="preserve">v5.1 L1383</t>
  </si>
  <si>
    <t xml:space="preserve">HRC-07</t>
  </si>
  <si>
    <t xml:space="preserve">Learning &amp; Development Agent</t>
  </si>
  <si>
    <t xml:space="preserve">Builds capability: Learning and Skill Acquisition plans, mentoring structures, habit systems for the team.</t>
  </si>
  <si>
    <t xml:space="preserve">Learning; Skill Acquisition; Habit Formation (team)</t>
  </si>
  <si>
    <t xml:space="preserve">Skill gap from review; new tool/process</t>
  </si>
  <si>
    <t xml:space="preserve">Learning plans; practice logs</t>
  </si>
  <si>
    <t xml:space="preserve">HRC-04; CON-05</t>
  </si>
  <si>
    <t xml:space="preserve">GFunnel University</t>
  </si>
  <si>
    <t xml:space="preserve">Skills acquired vs plan</t>
  </si>
  <si>
    <t xml:space="preserve">Orphan skills; repetition without deliberation</t>
  </si>
  <si>
    <t xml:space="preserve">Derived placement (Learning, Skill Acquisition)</t>
  </si>
  <si>
    <t xml:space="preserve">v5.1 L2888–2907; L3639–3660</t>
  </si>
  <si>
    <t xml:space="preserve">HRC-08</t>
  </si>
  <si>
    <t xml:space="preserve">Conflict Resolution Agent</t>
  </si>
  <si>
    <t xml:space="preserve">Mediates conflicts between people (and flags conflicting agent outputs): locate the axis, match frequencies, discover interests, find shared interest and the middle, confirm through behavior, document the principle.</t>
  </si>
  <si>
    <t xml:space="preserve">Conflict Resolution Algorithm</t>
  </si>
  <si>
    <t xml:space="preserve">Conflict raised</t>
  </si>
  <si>
    <t xml:space="preserve">Resolution record + generalizable principle</t>
  </si>
  <si>
    <t xml:space="preserve">HRC-00; G-06</t>
  </si>
  <si>
    <t xml:space="preserve">Recurring conflicts on same axis</t>
  </si>
  <si>
    <t xml:space="preserve">Resolution acceptance → humans involved</t>
  </si>
  <si>
    <t xml:space="preserve">Splitting the field instead of expanding it</t>
  </si>
  <si>
    <t xml:space="preserve">Canon: civil function (resolves disputes) + algorithm</t>
  </si>
  <si>
    <t xml:space="preserve">v5.1 L2722–2741; L435–450</t>
  </si>
  <si>
    <t xml:space="preserve">HRC-09</t>
  </si>
  <si>
    <t xml:space="preserve">Meeting &amp; Group Facilitation Agent</t>
  </si>
  <si>
    <t xml:space="preserve">Structures team meetings and workshops: group Kingdom, gradient, frequency, energy middle, structure plus space, explicit causes, documented outcomes.</t>
  </si>
  <si>
    <t xml:space="preserve">Group Facilitation Algorithm</t>
  </si>
  <si>
    <t xml:space="preserve">Meeting/workshop scheduled</t>
  </si>
  <si>
    <t xml:space="preserve">Agenda; facilitation frame; minutes</t>
  </si>
  <si>
    <t xml:space="preserve">Meetings with documented outcomes</t>
  </si>
  <si>
    <t xml:space="preserve">Facilitation itself may be human</t>
  </si>
  <si>
    <t xml:space="preserve">Suppressed contribution or no structure</t>
  </si>
  <si>
    <t xml:space="preserve">Derived placement (Group Facilitation)</t>
  </si>
  <si>
    <t xml:space="preserve">v5.1 L3819–3836</t>
  </si>
  <si>
    <t xml:space="preserve">HRC-10</t>
  </si>
  <si>
    <t xml:space="preserve">Compliance &amp; Legal Strategy Agent</t>
  </si>
  <si>
    <t xml:space="preserve">Maps regulatory requirements, holds ambiguous rules as bounded variables, sequences baseline compliance before optimization, keeps audit-ready records continuously, quarterly review.</t>
  </si>
  <si>
    <t xml:space="preserve">Compliance and Legal Strategy Algorithm</t>
  </si>
  <si>
    <t xml:space="preserve">New jurisdiction/product/contract; quarterly</t>
  </si>
  <si>
    <t xml:space="preserve">Compliance register; audit-ready records</t>
  </si>
  <si>
    <t xml:space="preserve">SAL-08; OPS-04; G-00</t>
  </si>
  <si>
    <t xml:space="preserve">Audit-ready records current</t>
  </si>
  <si>
    <t xml:space="preserve">Legal positions → G-00 / counsel</t>
  </si>
  <si>
    <t xml:space="preserve">Retroactive compliance; tribal-knowledge liability</t>
  </si>
  <si>
    <t xml:space="preserve">Derived placement (Courts = standards; algorithm has no named hub)</t>
  </si>
  <si>
    <t xml:space="preserve">v5.1 L3509–3526</t>
  </si>
  <si>
    <t xml:space="preserve">TEC-00</t>
  </si>
  <si>
    <t xml:space="preserve">Technology Hub Lead</t>
  </si>
  <si>
    <t xml:space="preserve">7 · Technology Hub</t>
  </si>
  <si>
    <t xml:space="preserve">Yang infrastructure</t>
  </si>
  <si>
    <t xml:space="preserve">Owns the communications network of the business: platform, automation, CRM, integrations, AI, security. Owns this hub's four-pillar self-score and its coordination score with the other eight hubs.</t>
  </si>
  <si>
    <t xml:space="preserve">System Architecture; Software Development; Layer V (department row); Layer VI for the hub</t>
  </si>
  <si>
    <t xml:space="preserve">Uptime; automation coverage; hub BEAS row /4 + coordination /1</t>
  </si>
  <si>
    <t xml:space="preserve">Canon: department (Platform architecture, automation (n8n), CRM (GHL), integrations, AI, security)</t>
  </si>
  <si>
    <t xml:space="preserve">TEC-01</t>
  </si>
  <si>
    <t xml:space="preserve">Platform Architect</t>
  </si>
  <si>
    <t xml:space="preserve">Designs system architecture: purpose, actors and flows, Three Kingdoms per component, gradients, resilience decoupling, density, written + diagram docs, observability, review at each Fibonacci step.</t>
  </si>
  <si>
    <t xml:space="preserve">System Architecture Algorithm</t>
  </si>
  <si>
    <t xml:space="preserve">New system; scale step</t>
  </si>
  <si>
    <t xml:space="preserve">Architecture doc + diagram</t>
  </si>
  <si>
    <t xml:space="preserve">TEC-02; TEC-07; O-13</t>
  </si>
  <si>
    <t xml:space="preserve">n8n; Lead Connector (GHL)</t>
  </si>
  <si>
    <t xml:space="preserve">Single points of failure decoupled</t>
  </si>
  <si>
    <t xml:space="preserve">Major architecture choices → G-00</t>
  </si>
  <si>
    <t xml:space="preserve">Verbal architecture</t>
  </si>
  <si>
    <t xml:space="preserve">Canon: dept function (platform architecture) + algorithm</t>
  </si>
  <si>
    <t xml:space="preserve">v5.1 L3529–3548</t>
  </si>
  <si>
    <t xml:space="preserve">TEC-02</t>
  </si>
  <si>
    <t xml:space="preserve">Automation Engineer (n8n)</t>
  </si>
  <si>
    <t xml:space="preserve">Builds and maintains n8n automations (Propagation Mode 4 — System-Building) so processes run without human bottlenecks; tests before launch.</t>
  </si>
  <si>
    <t xml:space="preserve">Five Modes — Mode 4; Shepherd's Way</t>
  </si>
  <si>
    <t xml:space="preserve">Documented SOP ready to automate</t>
  </si>
  <si>
    <t xml:space="preserve">Tested automations; runbooks</t>
  </si>
  <si>
    <t xml:space="preserve">n8n</t>
  </si>
  <si>
    <t xml:space="preserve">Manual steps automated; automation failures</t>
  </si>
  <si>
    <t xml:space="preserve">Automating an undocumented process</t>
  </si>
  <si>
    <t xml:space="preserve">Canon: dept function (automation n8n)</t>
  </si>
  <si>
    <t xml:space="preserve">v5.1 L1384; L1308</t>
  </si>
  <si>
    <t xml:space="preserve">TEC-03</t>
  </si>
  <si>
    <t xml:space="preserve">CRM Administrator (Lead Connector / GHL)</t>
  </si>
  <si>
    <t xml:space="preserve">Owns CRM configuration: pipelines, stages, tags, follow-up sequences, fields, permissions.</t>
  </si>
  <si>
    <t xml:space="preserve">ACE GHL Architecture</t>
  </si>
  <si>
    <t xml:space="preserve">Pipeline/tag change request</t>
  </si>
  <si>
    <t xml:space="preserve">Configured CRM; change log</t>
  </si>
  <si>
    <t xml:space="preserve">SAL-03; MKT-03</t>
  </si>
  <si>
    <t xml:space="preserve">Pipeline stages with automation (target 100%)</t>
  </si>
  <si>
    <t xml:space="preserve">Stages without triggers</t>
  </si>
  <si>
    <t xml:space="preserve">Canon: dept function (CRM GHL)</t>
  </si>
  <si>
    <t xml:space="preserve">v5.1 L1384; L1596</t>
  </si>
  <si>
    <t xml:space="preserve">TEC-04</t>
  </si>
  <si>
    <t xml:space="preserve">Integrations Agent</t>
  </si>
  <si>
    <t xml:space="preserve">Connects tools so there are 'no isolated tools' (Pillar II); monitors integration health.</t>
  </si>
  <si>
    <t xml:space="preserve">Pillar II Complexity 'In Practice'</t>
  </si>
  <si>
    <t xml:space="preserve">New tool adopted; sync failure</t>
  </si>
  <si>
    <t xml:space="preserve">Integration specs; health checks</t>
  </si>
  <si>
    <t xml:space="preserve">TEC-08</t>
  </si>
  <si>
    <t xml:space="preserve">Isolated tools (target 0); sync failures</t>
  </si>
  <si>
    <t xml:space="preserve">Isolated tools</t>
  </si>
  <si>
    <t xml:space="preserve">Canon: dept function (integrations)</t>
  </si>
  <si>
    <t xml:space="preserve">v5.1 L1365; L1384</t>
  </si>
  <si>
    <t xml:space="preserve">TEC-05</t>
  </si>
  <si>
    <t xml:space="preserve">AI Workflow Agent</t>
  </si>
  <si>
    <t xml:space="preserve">Builds and maintains the business's AI workflows (including Flows AI and these agents), implementing G-05's alignment instrumentation.</t>
  </si>
  <si>
    <t xml:space="preserve">Five Modes — Mode 4 (AI workflows); AI Alignment (implementation)</t>
  </si>
  <si>
    <t xml:space="preserve">New AI workflow; G-05 review</t>
  </si>
  <si>
    <t xml:space="preserve">Deployed AI workflows with logging and fallback</t>
  </si>
  <si>
    <t xml:space="preserve">G-05; TEC-08</t>
  </si>
  <si>
    <t xml:space="preserve">Flows AI</t>
  </si>
  <si>
    <t xml:space="preserve">AI workflows with fallback + logging</t>
  </si>
  <si>
    <t xml:space="preserve">Deployment → G-00 via G-05</t>
  </si>
  <si>
    <t xml:space="preserve">AI with no fallback</t>
  </si>
  <si>
    <t xml:space="preserve">Canon: dept function (AI)</t>
  </si>
  <si>
    <t xml:space="preserve">TEC-06</t>
  </si>
  <si>
    <t xml:space="preserve">Security Agent</t>
  </si>
  <si>
    <t xml:space="preserve">Protects systems and data: access control, credential hygiene, incident detection; coordinates with Crisis Coordinator on incidents.</t>
  </si>
  <si>
    <t xml:space="preserve">Risk Management (Resilience); Crisis Response</t>
  </si>
  <si>
    <t xml:space="preserve">Access request; alert; quarterly review</t>
  </si>
  <si>
    <t xml:space="preserve">Access reviews; incident reports</t>
  </si>
  <si>
    <t xml:space="preserve">O-19; STR-05</t>
  </si>
  <si>
    <t xml:space="preserve">Open security findings</t>
  </si>
  <si>
    <t xml:space="preserve">Access grants to sensitive systems → human</t>
  </si>
  <si>
    <t xml:space="preserve">Unobserved degradation</t>
  </si>
  <si>
    <t xml:space="preserve">Canon: dept function (security)</t>
  </si>
  <si>
    <t xml:space="preserve">v5.1 L1384</t>
  </si>
  <si>
    <t xml:space="preserve">TEC-07</t>
  </si>
  <si>
    <t xml:space="preserve">Software Development Agent</t>
  </si>
  <si>
    <t xml:space="preserve">Builds custom software: one-sentence problem, requirements, constraints, architecture first, Fibonacci increments, falsifying tests, documented assumptions, deploy, integrate production failures.</t>
  </si>
  <si>
    <t xml:space="preserve">Software Development Algorithm</t>
  </si>
  <si>
    <t xml:space="preserve">Approved software need</t>
  </si>
  <si>
    <t xml:space="preserve">Tested, documented software</t>
  </si>
  <si>
    <t xml:space="preserve">OPS-02; TEC-08</t>
  </si>
  <si>
    <t xml:space="preserve">Tests per feature; production incidents</t>
  </si>
  <si>
    <t xml:space="preserve">Production deploy → human</t>
  </si>
  <si>
    <t xml:space="preserve">Coding before the one-sentence problem</t>
  </si>
  <si>
    <t xml:space="preserve">v5.1 L2594–2617</t>
  </si>
  <si>
    <t xml:space="preserve">Monitoring &amp; Observability Agent</t>
  </si>
  <si>
    <t xml:space="preserve">Logging, monitoring and alerting on every system — 'what is unobserved degrades silently'.</t>
  </si>
  <si>
    <t xml:space="preserve">System Architecture step 8; Layer I.F</t>
  </si>
  <si>
    <t xml:space="preserve">Continuous</t>
  </si>
  <si>
    <t xml:space="preserve">Dashboards; alerts</t>
  </si>
  <si>
    <t xml:space="preserve">O-19; TEC-00</t>
  </si>
  <si>
    <t xml:space="preserve">Systems with alerting (target 100%)</t>
  </si>
  <si>
    <t xml:space="preserve">Silent degradation</t>
  </si>
  <si>
    <t xml:space="preserve">v5.1 L3546</t>
  </si>
  <si>
    <t xml:space="preserve">CS-00</t>
  </si>
  <si>
    <t xml:space="preserve">Client Success Hub Lead (ACE Expansion owner)</t>
  </si>
  <si>
    <t xml:space="preserve">8 · Client Success Hub</t>
  </si>
  <si>
    <t xml:space="preserve">Yin — retention</t>
  </si>
  <si>
    <t xml:space="preserve">Owns ACE Stage 03 — retention, referrals and upsells; lifetime value is created here. Owns this hub's four-pillar self-score and its coordination score with the other eight hubs.</t>
  </si>
  <si>
    <t xml:space="preserve">Client Onboarding; Customer Service; ACE Expansion; Layer V (department row); Layer VI for the hub</t>
  </si>
  <si>
    <t xml:space="preserve">Retention; net revenue retention; hub BEAS row /4 + coordination /1</t>
  </si>
  <si>
    <t xml:space="preserve">Canon: department (Onboarding, support, account management, NPS, churn prevention, expansion)</t>
  </si>
  <si>
    <t xml:space="preserve">CS-01</t>
  </si>
  <si>
    <t xml:space="preserve">Pre-Immersion Prep Agent</t>
  </si>
  <si>
    <t xml:space="preserve">1–2 days before Immersion: reviews all client materials, lists known knowns / unknowns / gaps, builds the intake structure and question set.</t>
  </si>
  <si>
    <t xml:space="preserve">Immersion Pre-Immersion Prep; Client Onboarding step 1</t>
  </si>
  <si>
    <t xml:space="preserve">Handoff received from SAL-11</t>
  </si>
  <si>
    <t xml:space="preserve">Structured framework; variable list; questions</t>
  </si>
  <si>
    <t xml:space="preserve">CS-02</t>
  </si>
  <si>
    <t xml:space="preserve">Immersions with complete prep pack</t>
  </si>
  <si>
    <t xml:space="preserve">Building the container after information arrives</t>
  </si>
  <si>
    <t xml:space="preserve">v5.1 L1335; L2677</t>
  </si>
  <si>
    <t xml:space="preserve">Immersion Capture Agent</t>
  </si>
  <si>
    <t xml:space="preserve">Supports the Immersion day: calibration (frame as data collection), then 6–12 h full capture on Komodo — workflows, tribal knowledge, team dynamics, pain points, tools, revenue flows, customer journey, founder vision. No interpretation.</t>
  </si>
  <si>
    <t xml:space="preserve">Immersion Arrival &amp; Calibration + Full Data Capture; Client Onboarding steps 2–3</t>
  </si>
  <si>
    <t xml:space="preserve">Immersion day</t>
  </si>
  <si>
    <t xml:space="preserve">Raw complete data set; transcripts</t>
  </si>
  <si>
    <t xml:space="preserve">CS-03</t>
  </si>
  <si>
    <t xml:space="preserve">Capture completeness vs intake structure</t>
  </si>
  <si>
    <t xml:space="preserve">The session is human-led</t>
  </si>
  <si>
    <t xml:space="preserve">Filtering during gathering</t>
  </si>
  <si>
    <t xml:space="preserve">v5.1 L1336–1337</t>
  </si>
  <si>
    <t xml:space="preserve">Blueprint Agent</t>
  </si>
  <si>
    <t xml:space="preserve">Organizes the raw capture by department, maps dependencies, flags contradictions; delivers within 48 hours a written blueprint: current-state Three Kingdoms map, gaps, Fibonacci build sequence, BEAS baseline, 90-day roadmap.</t>
  </si>
  <si>
    <t xml:space="preserve">Immersion Organize + Blueprint Delivery; Client Onboarding steps 4–5</t>
  </si>
  <si>
    <t xml:space="preserve">Capture complete</t>
  </si>
  <si>
    <t xml:space="preserve">Client-approved blueprint</t>
  </si>
  <si>
    <t xml:space="preserve">OPS-05; CS-04</t>
  </si>
  <si>
    <t xml:space="preserve">Blueprints within 48h (target 100%)</t>
  </si>
  <si>
    <t xml:space="preserve">Client approval; internal sign-off</t>
  </si>
  <si>
    <t xml:space="preserve">Create before organize</t>
  </si>
  <si>
    <t xml:space="preserve">v5.1 L1338–1339; L2683–2685</t>
  </si>
  <si>
    <t xml:space="preserve">CS-04</t>
  </si>
  <si>
    <t xml:space="preserve">Account Manager Agent</t>
  </si>
  <si>
    <t xml:space="preserve">Owns the client relationship through build: first measurable result within 30 days, engagement intensity at the dynamic middle, issues routed.</t>
  </si>
  <si>
    <t xml:space="preserve">Client Onboarding steps 6–7; account management</t>
  </si>
  <si>
    <t xml:space="preserve">Build phase start; weekly</t>
  </si>
  <si>
    <t xml:space="preserve">Account plan; first-result report</t>
  </si>
  <si>
    <t xml:space="preserve">CS-06; OPS-05</t>
  </si>
  <si>
    <t xml:space="preserve">First result ≤30 days</t>
  </si>
  <si>
    <t xml:space="preserve">Serve-and-wait or constant pressure</t>
  </si>
  <si>
    <t xml:space="preserve">Canon: dept function (account management)</t>
  </si>
  <si>
    <t xml:space="preserve">v5.1 L1385; L2689</t>
  </si>
  <si>
    <t xml:space="preserve">CS-05</t>
  </si>
  <si>
    <t xml:space="preserve">Customer Service &amp; Support Agent</t>
  </si>
  <si>
    <t xml:space="preserve">Handles support: listen until the real interest is visible, match frequency, identify the principle at play, resolve at the right Kingdom (replace / fix process / restore trust), log in CRM, confirm resolution.</t>
  </si>
  <si>
    <t xml:space="preserve">Customer Service Algorithm</t>
  </si>
  <si>
    <t xml:space="preserve">Support ticket/message</t>
  </si>
  <si>
    <t xml:space="preserve">Resolved ticket, CRM log, closed loop</t>
  </si>
  <si>
    <t xml:space="preserve">O-20 (patterns); OPS-00</t>
  </si>
  <si>
    <t xml:space="preserve">Resolution confirmed (target 100%)</t>
  </si>
  <si>
    <t xml:space="preserve">Refunds/credits → human</t>
  </si>
  <si>
    <t xml:space="preserve">Confirmation failures</t>
  </si>
  <si>
    <t xml:space="preserve">Canon: dept function (support) + algorithm</t>
  </si>
  <si>
    <t xml:space="preserve">v5.1 L3425–3442</t>
  </si>
  <si>
    <t xml:space="preserve">CS-06</t>
  </si>
  <si>
    <t xml:space="preserve">Client BEAS &amp; Results Reporter</t>
  </si>
  <si>
    <t xml:space="preserve">Delivers the monthly BEAS review and progress report to each client — First-Kingdom results from Second-Kingdom systems built. 'The report IS the upsell trigger.'</t>
  </si>
  <si>
    <t xml:space="preserve">ACE Retention Architecture; Client Onboarding step 8</t>
  </si>
  <si>
    <t xml:space="preserve">Monthly</t>
  </si>
  <si>
    <t xml:space="preserve">Client BEAS review; results report</t>
  </si>
  <si>
    <t xml:space="preserve">CS-09; CS-04</t>
  </si>
  <si>
    <t xml:space="preserve">Reports delivered monthly</t>
  </si>
  <si>
    <t xml:space="preserve">Results that go unreported</t>
  </si>
  <si>
    <t xml:space="preserve">Canon: retention architecture</t>
  </si>
  <si>
    <t xml:space="preserve">v5.1 L1649; L2691</t>
  </si>
  <si>
    <t xml:space="preserve">CS-07</t>
  </si>
  <si>
    <t xml:space="preserve">NPS &amp; Client Feedback Agent</t>
  </si>
  <si>
    <t xml:space="preserve">Measures satisfaction (NPS), captures feedback, feeds patterns to product/ops.</t>
  </si>
  <si>
    <t xml:space="preserve">Layer I.F observation; Customer Service step 7</t>
  </si>
  <si>
    <t xml:space="preserve">Milestone; quarterly</t>
  </si>
  <si>
    <t xml:space="preserve">NPS scores; feedback themes</t>
  </si>
  <si>
    <t xml:space="preserve">O-20; CS-00</t>
  </si>
  <si>
    <t xml:space="preserve">NPS (target held open)</t>
  </si>
  <si>
    <t xml:space="preserve">Unheard dissatisfaction</t>
  </si>
  <si>
    <t xml:space="preserve">Canon: dept function (NPS)</t>
  </si>
  <si>
    <t xml:space="preserve">v5.1 L1385</t>
  </si>
  <si>
    <t xml:space="preserve">CS-08</t>
  </si>
  <si>
    <t xml:space="preserve">Churn Prevention Agent</t>
  </si>
  <si>
    <t xml:space="preserve">Detects churn risk early and offers the $297 downgrade path instead of full cancellation.</t>
  </si>
  <si>
    <t xml:space="preserve">ACE Expansion (downgrade path); Customer Service</t>
  </si>
  <si>
    <t xml:space="preserve">Usage drop; cancellation request; low NPS</t>
  </si>
  <si>
    <t xml:space="preserve">Save plays; downgrade offers</t>
  </si>
  <si>
    <t xml:space="preserve">FIN-06; O-10</t>
  </si>
  <si>
    <t xml:space="preserve">Cancellations converted to downgrades</t>
  </si>
  <si>
    <t xml:space="preserve">Retention concessions → human</t>
  </si>
  <si>
    <t xml:space="preserve">Full cancellation with no downgrade offered</t>
  </si>
  <si>
    <t xml:space="preserve">Canon: dept function (churn prevention)</t>
  </si>
  <si>
    <t xml:space="preserve">v5.1 L1367; L1648</t>
  </si>
  <si>
    <t xml:space="preserve">CS-09</t>
  </si>
  <si>
    <t xml:space="preserve">Expansion &amp; Referral Agent</t>
  </si>
  <si>
    <t xml:space="preserve">Triggers the expansion sequence after the first successful deliverable: automated referral sequences, hour-bonus upgrade conversations, upsell timing at the Yin/Yang middle.</t>
  </si>
  <si>
    <t xml:space="preserve">Sales Algorithm step 12; ACE Expansion; Layer VII step 4</t>
  </si>
  <si>
    <t xml:space="preserve">First successful deliverable; positive report</t>
  </si>
  <si>
    <t xml:space="preserve">Referral asks; upgrade conversations</t>
  </si>
  <si>
    <t xml:space="preserve">SAL-01; SAL-05</t>
  </si>
  <si>
    <t xml:space="preserve">Referrals; expansion revenue</t>
  </si>
  <si>
    <t xml:space="preserve">Upsell offers above threshold → human</t>
  </si>
  <si>
    <t xml:space="preserve">Constant upsell (burns clients)</t>
  </si>
  <si>
    <t xml:space="preserve">Canon: dept function (expansion)</t>
  </si>
  <si>
    <t xml:space="preserve">v5.1 L1640–1650; L2647</t>
  </si>
  <si>
    <t xml:space="preserve">CS-10</t>
  </si>
  <si>
    <t xml:space="preserve">Quarterly Immersion Review Agent</t>
  </si>
  <si>
    <t xml:space="preserve">Runs the quarterly re-capture: update the client's blueprint and identify the next Fibonacci step.</t>
  </si>
  <si>
    <t xml:space="preserve">Client Onboarding step 9; ACE Retention Architecture</t>
  </si>
  <si>
    <t xml:space="preserve">Quarter</t>
  </si>
  <si>
    <t xml:space="preserve">Updated blueprint; next-step proposal</t>
  </si>
  <si>
    <t xml:space="preserve">CS-09; OPS-05</t>
  </si>
  <si>
    <t xml:space="preserve">Quarterly reviews held</t>
  </si>
  <si>
    <t xml:space="preserve">Blueprint going stale</t>
  </si>
  <si>
    <t xml:space="preserve">v5.1 L1649; L2693</t>
  </si>
  <si>
    <t xml:space="preserve">CS-11</t>
  </si>
  <si>
    <t xml:space="preserve">Community &amp; Movement Agent</t>
  </si>
  <si>
    <t xml:space="preserve">Builds the client community and social network that create stickiness beyond the product; applies Movement Building so the methodology propagates through all five modes.</t>
  </si>
  <si>
    <t xml:space="preserve">Movement Building Algorithm; ACE Expansion (community)</t>
  </si>
  <si>
    <t xml:space="preserve">Community calendar; new members</t>
  </si>
  <si>
    <t xml:space="preserve">Community programs; engagement</t>
  </si>
  <si>
    <t xml:space="preserve">HRC-05; CON-05</t>
  </si>
  <si>
    <t xml:space="preserve">Active community members</t>
  </si>
  <si>
    <t xml:space="preserve">Transactional relationships</t>
  </si>
  <si>
    <t xml:space="preserve">Canon: ACE Expansion (community) + algorithm</t>
  </si>
  <si>
    <t xml:space="preserve">v5.1 L1648; L3957–3976</t>
  </si>
  <si>
    <t xml:space="preserve">CON-00</t>
  </si>
  <si>
    <t xml:space="preserve">Content Hub Lead (Propagation owner)</t>
  </si>
  <si>
    <t xml:space="preserve">9 · Content Hub</t>
  </si>
  <si>
    <t xml:space="preserve">Yin — propagation</t>
  </si>
  <si>
    <t xml:space="preserve">Owns propagation: the libraries and education system that store and transmit the knowledge base. Owns this hub's four-pillar self-score and its coordination score with the other eight hubs.</t>
  </si>
  <si>
    <t xml:space="preserve">Five Modes of Propagation; Creative Work; Layer V (department row); Layer VI for the hub</t>
  </si>
  <si>
    <t xml:space="preserve">Assets shipped; University usage; hub BEAS row /4 + coordination /1</t>
  </si>
  <si>
    <t xml:space="preserve">Canon: department (IP creation, media production, methodology documentation, brand, GFunnel University)</t>
  </si>
  <si>
    <t xml:space="preserve">CON-01</t>
  </si>
  <si>
    <t xml:space="preserve">IP Creation Agent</t>
  </si>
  <si>
    <t xml:space="preserve">Creates new intellectual property (frameworks, products, courses) through the Creative Work Algorithm.</t>
  </si>
  <si>
    <t xml:space="preserve">Creative Work Algorithm</t>
  </si>
  <si>
    <t xml:space="preserve">Content plan; innovation output</t>
  </si>
  <si>
    <t xml:space="preserve">New IP assets</t>
  </si>
  <si>
    <t xml:space="preserve">CON-00; MKT-05</t>
  </si>
  <si>
    <t xml:space="preserve">IP assets shipped</t>
  </si>
  <si>
    <t xml:space="preserve">IP publication → G-00</t>
  </si>
  <si>
    <t xml:space="preserve">Work below/above density threshold</t>
  </si>
  <si>
    <t xml:space="preserve">Canon: dept function (IP creation) + algorithm</t>
  </si>
  <si>
    <t xml:space="preserve">v5.1 L2978–3001</t>
  </si>
  <si>
    <t xml:space="preserve">CON-02</t>
  </si>
  <si>
    <t xml:space="preserve">Media Production Agent (Mode 2 Demonstration)</t>
  </si>
  <si>
    <t xml:space="preserve">Produces recordings, case studies and testimonials — results that do the marketing.</t>
  </si>
  <si>
    <t xml:space="preserve">Five Modes — Mode 2 Demonstration</t>
  </si>
  <si>
    <t xml:space="preserve">Successful client result; recorded session</t>
  </si>
  <si>
    <t xml:space="preserve">Videos, case studies, testimonials</t>
  </si>
  <si>
    <t xml:space="preserve">Proof assets per month</t>
  </si>
  <si>
    <t xml:space="preserve">Client consent → human</t>
  </si>
  <si>
    <t xml:space="preserve">Promises without proof</t>
  </si>
  <si>
    <t xml:space="preserve">Canon: dept function (media production)</t>
  </si>
  <si>
    <t xml:space="preserve">v5.1 L1306; L1386</t>
  </si>
  <si>
    <t xml:space="preserve">CON-03</t>
  </si>
  <si>
    <t xml:space="preserve">Methodology &amp; SOP Documentation Steward (Mode 3)</t>
  </si>
  <si>
    <t xml:space="preserve">Keeps the SOP library and methodology documentation complete, current and transferable.</t>
  </si>
  <si>
    <t xml:space="preserve">Five Modes — Mode 3 Documentation</t>
  </si>
  <si>
    <t xml:space="preserve">New/changed process from O-15</t>
  </si>
  <si>
    <t xml:space="preserve">SOP library</t>
  </si>
  <si>
    <t xml:space="preserve">CON-08; TEC-02</t>
  </si>
  <si>
    <t xml:space="preserve">Processes with a current SOP</t>
  </si>
  <si>
    <t xml:space="preserve">Tribal knowledge</t>
  </si>
  <si>
    <t xml:space="preserve">Canon: dept function (methodology documentation)</t>
  </si>
  <si>
    <t xml:space="preserve">v5.1 L1307; L1386</t>
  </si>
  <si>
    <t xml:space="preserve">CON-04</t>
  </si>
  <si>
    <t xml:space="preserve">Brand Standards Agent</t>
  </si>
  <si>
    <t xml:space="preserve">Defines and documents brand standards (Third-Kingdom purpose, convergence point, frequency, language/visual/experience encoding) and iterates them with each market interaction.</t>
  </si>
  <si>
    <t xml:space="preserve">Brand and Identity Algorithm</t>
  </si>
  <si>
    <t xml:space="preserve">Brand review; new touchpoint</t>
  </si>
  <si>
    <t xml:space="preserve">Brand standards document</t>
  </si>
  <si>
    <t xml:space="preserve">MKT-04; STR-02</t>
  </si>
  <si>
    <t xml:space="preserve">Touchpoints conforming</t>
  </si>
  <si>
    <t xml:space="preserve">Brand changes → G-00</t>
  </si>
  <si>
    <t xml:space="preserve">Brand living only in the founder's head</t>
  </si>
  <si>
    <t xml:space="preserve">Canon: dept function (brand) + algorithm</t>
  </si>
  <si>
    <t xml:space="preserve">v5.1 L3405–3422</t>
  </si>
  <si>
    <t xml:space="preserve">CON-05</t>
  </si>
  <si>
    <t xml:space="preserve">GFunnel University Curriculum Agent</t>
  </si>
  <si>
    <t xml:space="preserve">Builds courses and mentoring material (Mode 1 Direct Teaching at scale) with the Teaching and Mentoring Algorithm.</t>
  </si>
  <si>
    <t xml:space="preserve">Teaching and Mentoring Algorithm; Five Modes — Mode 1</t>
  </si>
  <si>
    <t xml:space="preserve">Curriculum plan; repeated client questions</t>
  </si>
  <si>
    <t xml:space="preserve">Courses, lessons, assessments</t>
  </si>
  <si>
    <t xml:space="preserve">HRC-07; CS-11</t>
  </si>
  <si>
    <t xml:space="preserve">Learners completing with artifacts</t>
  </si>
  <si>
    <t xml:space="preserve">Teaching without learner artifacts</t>
  </si>
  <si>
    <t xml:space="preserve">Canon: dept function (GFunnel University)</t>
  </si>
  <si>
    <t xml:space="preserve">v5.1 L3048–3069; L1386</t>
  </si>
  <si>
    <t xml:space="preserve">CON-06</t>
  </si>
  <si>
    <t xml:space="preserve">Writing Agent</t>
  </si>
  <si>
    <t xml:space="preserve">Writes long-form, emails, docs and copy: reader, gradient, structure before prose, precise words, subtractive edit, read-aloud test; precise communication.</t>
  </si>
  <si>
    <t xml:space="preserve">Writing Algorithm; Domain 6 Linguistic / Communication</t>
  </si>
  <si>
    <t xml:space="preserve">Writing request</t>
  </si>
  <si>
    <t xml:space="preserve">Drafts and edited copy</t>
  </si>
  <si>
    <t xml:space="preserve">Requester; CON-04</t>
  </si>
  <si>
    <t xml:space="preserve">Edit pass rate</t>
  </si>
  <si>
    <t xml:space="preserve">Publication of claims → G-00</t>
  </si>
  <si>
    <t xml:space="preserve">Writing that fails through addition</t>
  </si>
  <si>
    <t xml:space="preserve">Derived placement (Writing)</t>
  </si>
  <si>
    <t xml:space="preserve">v5.1 L3004–3023; L3178–3195</t>
  </si>
  <si>
    <t xml:space="preserve">CON-07</t>
  </si>
  <si>
    <t xml:space="preserve">Case Study &amp; Proof Library Agent</t>
  </si>
  <si>
    <t xml:space="preserve">Maintains the searchable library of proof (results, testimonials, before/after BEAS) for sales and marketing.</t>
  </si>
  <si>
    <t xml:space="preserve">What Sustains Propagation — results that speak</t>
  </si>
  <si>
    <t xml:space="preserve">New proof asset</t>
  </si>
  <si>
    <t xml:space="preserve">Indexed proof library</t>
  </si>
  <si>
    <t xml:space="preserve">SAL-05; MKT-05</t>
  </si>
  <si>
    <t xml:space="preserve">Proof assets per offer tier</t>
  </si>
  <si>
    <t xml:space="preserve">Proof not findable when needed</t>
  </si>
  <si>
    <t xml:space="preserve">Canon: sustains-propagation table</t>
  </si>
  <si>
    <t xml:space="preserve">v5.1 L1321</t>
  </si>
  <si>
    <t xml:space="preserve">CON-08</t>
  </si>
  <si>
    <t xml:space="preserve">Knowledge Base Librarian (Memory &amp; Recall)</t>
  </si>
  <si>
    <t xml:space="preserve">Organisational memory: multi-level storage, dense cross-links, spaced review of key knowledge, everything beyond recall horizon documented.</t>
  </si>
  <si>
    <t xml:space="preserve">Memory and Recall Algorithm; Layer I.F (civilizational record)</t>
  </si>
  <si>
    <t xml:space="preserve">New documentation; quarterly review</t>
  </si>
  <si>
    <t xml:space="preserve">Linked knowledge base; review schedule</t>
  </si>
  <si>
    <t xml:space="preserve">All agents</t>
  </si>
  <si>
    <t xml:space="preserve">Knowledge retrieval success</t>
  </si>
  <si>
    <t xml:space="preserve">Knowledge rediscovered at full cost</t>
  </si>
  <si>
    <t xml:space="preserve">Derived placement (Memory)</t>
  </si>
  <si>
    <t xml:space="preserve">v5.1 L2956–2971</t>
  </si>
  <si>
    <t xml:space="preserve">Resp ID</t>
  </si>
  <si>
    <t xml:space="preserve">Hub</t>
  </si>
  <si>
    <t xml:space="preserve">Element Key</t>
  </si>
  <si>
    <t xml:space="preserve">Responsibility</t>
  </si>
  <si>
    <t xml:space="preserve">Source Type</t>
  </si>
  <si>
    <t xml:space="preserve">Source (algorithm / table)</t>
  </si>
  <si>
    <t xml:space="preserve">Canon Location</t>
  </si>
  <si>
    <t xml:space="preserve">Cadence</t>
  </si>
  <si>
    <t xml:space="preserve">Trigger (DETECT)</t>
  </si>
  <si>
    <t xml:space="preserve">Output / Next (RESPOND)</t>
  </si>
  <si>
    <t xml:space="preserve">Hand-off To</t>
  </si>
  <si>
    <t xml:space="preserve">R-0001</t>
  </si>
  <si>
    <t xml:space="preserve">ALG:Master Meta-Algorithm</t>
  </si>
  <si>
    <t xml:space="preserve">Step 1: Identify the domain. Name what you are operating on. The domain must be specific enough that its DETECT, PROCESS, and RESPOND signatures are distinguishable from adjacent domains.</t>
  </si>
  <si>
    <t xml:space="preserve">Algorithm step</t>
  </si>
  <si>
    <t xml:space="preserve">Master Meta-Algorithm</t>
  </si>
  <si>
    <t xml:space="preserve">v5.1 L2181</t>
  </si>
  <si>
    <t xml:space="preserve">Per un-routed problem</t>
  </si>
  <si>
    <t xml:space="preserve">Algorithm triggered</t>
  </si>
  <si>
    <t xml:space="preserve">Step 2</t>
  </si>
  <si>
    <t xml:space="preserve">Canon algorithm step</t>
  </si>
  <si>
    <t xml:space="preserve">R-0002</t>
  </si>
  <si>
    <t xml:space="preserve">Step 2: Locate the Three Kingdoms alignment. Determine which Kingdom the domain primarily operates from: Third (consciousness, vision, intent), Second (organized thought, systems, frameworks), or First (matter, action, physical execution).</t>
  </si>
  <si>
    <t xml:space="preserve">v5.1 L2183</t>
  </si>
  <si>
    <t xml:space="preserve">Step 1 complete</t>
  </si>
  <si>
    <t xml:space="preserve">Step 3</t>
  </si>
  <si>
    <t xml:space="preserve">R-0003</t>
  </si>
  <si>
    <t xml:space="preserve">Step 3: Identify the current state. Map what currently exists in the domain. Capture the data without filtering. Hold every variable open per the Variable Principle.</t>
  </si>
  <si>
    <t xml:space="preserve">v5.1 L2185</t>
  </si>
  <si>
    <t xml:space="preserve">Step 2 complete</t>
  </si>
  <si>
    <t xml:space="preserve">Step 4</t>
  </si>
  <si>
    <t xml:space="preserve">R-0004</t>
  </si>
  <si>
    <t xml:space="preserve">Step 4: Identify the desired state. Name what the domain should produce. The gap between current state and desired state is the work.</t>
  </si>
  <si>
    <t xml:space="preserve">v5.1 L2187</t>
  </si>
  <si>
    <t xml:space="preserve">Step 3 complete</t>
  </si>
  <si>
    <t xml:space="preserve">Step 5</t>
  </si>
  <si>
    <t xml:space="preserve">R-0005</t>
  </si>
  <si>
    <t xml:space="preserve">Step 5: Locate the dynamic middle. Identify the Yang extreme of the domain, the Yin extreme of the domain, and the dynamic middle position from which both extremes are accessible. The dynamic middle shifts as conditions change.</t>
  </si>
  <si>
    <t xml:space="preserve">v5.1 L2189</t>
  </si>
  <si>
    <t xml:space="preserve">Step 4 complete</t>
  </si>
  <si>
    <t xml:space="preserve">Step 6</t>
  </si>
  <si>
    <t xml:space="preserve">R-0006</t>
  </si>
  <si>
    <t xml:space="preserve">Step 6: Identify which Hermetic principle is being violated. Mentalism, Correspondence, Vibration, Polarity, Rhythm, Cause and Effect, or Gender. The violation is the cause of the gap between current and desired state.</t>
  </si>
  <si>
    <t xml:space="preserve">v5.1 L2191</t>
  </si>
  <si>
    <t xml:space="preserve">Step 5 complete</t>
  </si>
  <si>
    <t xml:space="preserve">Step 7</t>
  </si>
  <si>
    <t xml:space="preserve">R-0007</t>
  </si>
  <si>
    <t xml:space="preserve">Step 7: Identify the gradient. Every functional process runs on a gradient (a polarity established and collapsed). Determine which gradient powers the domain and whether it is established, collapsed, or absent.</t>
  </si>
  <si>
    <t xml:space="preserve">v5.1 L2193</t>
  </si>
  <si>
    <t xml:space="preserve">Step 6 complete</t>
  </si>
  <si>
    <t xml:space="preserve">Step 8</t>
  </si>
  <si>
    <t xml:space="preserve">R-0008</t>
  </si>
  <si>
    <t xml:space="preserve">Step 8: Set the cause. Per Cause and Effect: nothing happens by chance. Determine which cause, when set deliberately, produces the desired state as effect.</t>
  </si>
  <si>
    <t xml:space="preserve">v5.1 L2195</t>
  </si>
  <si>
    <t xml:space="preserve">Step 7 complete</t>
  </si>
  <si>
    <t xml:space="preserve">Step 9</t>
  </si>
  <si>
    <t xml:space="preserve">R-0009</t>
  </si>
  <si>
    <t xml:space="preserve">Step 9: Build the structure. Move from Third Kingdom intent through Second Kingdom organization into First Kingdom execution. Do not skip Kingdoms. Each Kingdom must complete before the next begins.</t>
  </si>
  <si>
    <t xml:space="preserve">v5.1 L2197</t>
  </si>
  <si>
    <t xml:space="preserve">Step 8 complete</t>
  </si>
  <si>
    <t xml:space="preserve">Step 10</t>
  </si>
  <si>
    <t xml:space="preserve">R-0010</t>
  </si>
  <si>
    <t xml:space="preserve">Step 10: Run the cycle. Execute the structure. Observe the result against the predicted effect. Capture every deviation as data, not failure.</t>
  </si>
  <si>
    <t xml:space="preserve">v5.1 L2199</t>
  </si>
  <si>
    <t xml:space="preserve">Step 9 complete</t>
  </si>
  <si>
    <t xml:space="preserve">Step 11</t>
  </si>
  <si>
    <t xml:space="preserve">R-0011</t>
  </si>
  <si>
    <t xml:space="preserve">Step 11: Document the result. Per Propagation Mode 3: if it is not written, it does not exist as a process. Record what was done, what worked, what deviated, what to adjust.</t>
  </si>
  <si>
    <t xml:space="preserve">v5.1 L2201</t>
  </si>
  <si>
    <t xml:space="preserve">Step 10 complete</t>
  </si>
  <si>
    <t xml:space="preserve">Step 12</t>
  </si>
  <si>
    <t xml:space="preserve">R-0012</t>
  </si>
  <si>
    <t xml:space="preserve">Step 12: Restart at higher baseline. Per the Repetition principle: each cycle begins informed by the prior cycle. Per the Capsule: each cycle integrates ALL prior cycles. Return to step 1 with the new baseline as input.</t>
  </si>
  <si>
    <t xml:space="preserve">v5.1 L2203</t>
  </si>
  <si>
    <t xml:space="preserve">Step 11 complete</t>
  </si>
  <si>
    <t xml:space="preserve">Document &amp; restart at higher baseline (Repetition)</t>
  </si>
  <si>
    <t xml:space="preserve">O-15 (Database)</t>
  </si>
  <si>
    <t xml:space="preserve">R-0013</t>
  </si>
  <si>
    <t xml:space="preserve">ALG:Layer 0 — The Base Code Algorithm</t>
  </si>
  <si>
    <t xml:space="preserve">Step 1: Identify the input. Name what just arrived in your processing space.</t>
  </si>
  <si>
    <t xml:space="preserve">Layer 0 — The Base Code Algorithm</t>
  </si>
  <si>
    <t xml:space="preserve">v5.1 L2237</t>
  </si>
  <si>
    <t xml:space="preserve">Per input</t>
  </si>
  <si>
    <t xml:space="preserve">R-0014</t>
  </si>
  <si>
    <t xml:space="preserve">Step 2: Locate your current Kingdom. Are you receiving from First Kingdom reactivity, Second Kingdom system, or Third Kingdom awareness?</t>
  </si>
  <si>
    <t xml:space="preserve">v5.1 L2239</t>
  </si>
  <si>
    <t xml:space="preserve">R-0015</t>
  </si>
  <si>
    <t xml:space="preserve">Step 3: Move up the Kingdoms. Reactive responses operate from First. Process the input through Second Kingdom organization. Receive it into Third Kingdom awareness before deciding.</t>
  </si>
  <si>
    <t xml:space="preserve">v5.1 L2241</t>
  </si>
  <si>
    <t xml:space="preserve">R-0016</t>
  </si>
  <si>
    <t xml:space="preserve">Step 4: Apply the processing architecture. Run the input through the appropriate framework, system, or filter for this domain.</t>
  </si>
  <si>
    <t xml:space="preserve">v5.1 L2243</t>
  </si>
  <si>
    <t xml:space="preserve">R-0017</t>
  </si>
  <si>
    <t xml:space="preserve">Step 5: Generate output. The response becomes the next cycle’s input.</t>
  </si>
  <si>
    <t xml:space="preserve">v5.1 L2245</t>
  </si>
  <si>
    <t xml:space="preserve">R-0018</t>
  </si>
  <si>
    <t xml:space="preserve">Step 6: Close and reopen. The loop never ends — it returns to step 1 at a new baseline.</t>
  </si>
  <si>
    <t xml:space="preserve">v5.1 L2247</t>
  </si>
  <si>
    <t xml:space="preserve">R-0019</t>
  </si>
  <si>
    <t xml:space="preserve">ALG:Layer I — The Three Kingdoms Identification Algorithm</t>
  </si>
  <si>
    <t xml:space="preserve">Step 1: Identify the system. Name what you are diagnosing.</t>
  </si>
  <si>
    <t xml:space="preserve">Layer I — The Three Kingdoms Identification Algorithm</t>
  </si>
  <si>
    <t xml:space="preserve">v5.1 L2255</t>
  </si>
  <si>
    <t xml:space="preserve">Per diagnosis</t>
  </si>
  <si>
    <t xml:space="preserve">R-0020</t>
  </si>
  <si>
    <t xml:space="preserve">Step 2: Locate its First Kingdom. What physical, material, measurable expression does it have?</t>
  </si>
  <si>
    <t xml:space="preserve">v5.1 L2257</t>
  </si>
  <si>
    <t xml:space="preserve">R-0021</t>
  </si>
  <si>
    <t xml:space="preserve">Step 3: Locate its Second Kingdom. What organizing thought, system, framework, or strategy directs the First Kingdom?</t>
  </si>
  <si>
    <t xml:space="preserve">v5.1 L2259</t>
  </si>
  <si>
    <t xml:space="preserve">R-0022</t>
  </si>
  <si>
    <t xml:space="preserve">Step 4: Locate its Third Kingdom. What awareness, vision, identity, or consciousness grounds the Second Kingdom?</t>
  </si>
  <si>
    <t xml:space="preserve">v5.1 L2261</t>
  </si>
  <si>
    <t xml:space="preserve">R-0023</t>
  </si>
  <si>
    <t xml:space="preserve">Step 5: Test alignment. Are all three Kingdoms coherent with each other? Does the First Kingdom express the Second? Does the Second Kingdom serve the Third?</t>
  </si>
  <si>
    <t xml:space="preserve">v5.1 L2263</t>
  </si>
  <si>
    <t xml:space="preserve">R-0024</t>
  </si>
  <si>
    <t xml:space="preserve">Step 6: Identify the misalignment. If output is poor, the misalignment is somewhere in steps 2–4. The most common misalignment is First Kingdom activity disconnected from Second Kingdom organization, or Second Kingdom systems disconnected from Third Kingdom intent.</t>
  </si>
  <si>
    <t xml:space="preserve">v5.1 L2265</t>
  </si>
  <si>
    <t xml:space="preserve">R-0025</t>
  </si>
  <si>
    <t xml:space="preserve">Step 7: Correct upward. Realign from the top down: clarify Third Kingdom intent, then rebuild Second Kingdom systems to serve it, then let First Kingdom expression flow from the corrected Second.</t>
  </si>
  <si>
    <t xml:space="preserve">v5.1 L2267</t>
  </si>
  <si>
    <t xml:space="preserve">R-0026</t>
  </si>
  <si>
    <t xml:space="preserve">ALG:Layer I.B — The Civil Infrastructure Algorithm</t>
  </si>
  <si>
    <t xml:space="preserve">Step 1: Identify what role each of the four pillars plays in this infrastructure: Correctness, Complexity, Patience, Resilience.</t>
  </si>
  <si>
    <t xml:space="preserve">Layer I.B — The Civil Infrastructure Algorithm</t>
  </si>
  <si>
    <t xml:space="preserve">v5.1 L2275</t>
  </si>
  <si>
    <t xml:space="preserve">Before each scale move</t>
  </si>
  <si>
    <t xml:space="preserve">R-0027</t>
  </si>
  <si>
    <t xml:space="preserve">Step 2: Map your current infrastructure to each pillar. Score each pillar honestly.</t>
  </si>
  <si>
    <t xml:space="preserve">v5.1 L2277</t>
  </si>
  <si>
    <t xml:space="preserve">R-0028</t>
  </si>
  <si>
    <t xml:space="preserve">Step 3: Locate the weakest pillar. The infrastructure fails at exactly the point of weakest pillar adherence.</t>
  </si>
  <si>
    <t xml:space="preserve">v5.1 L2279</t>
  </si>
  <si>
    <t xml:space="preserve">R-0029</t>
  </si>
  <si>
    <t xml:space="preserve">Step 4: Identify what completing that pillar would require. Be specific.</t>
  </si>
  <si>
    <t xml:space="preserve">v5.1 L2281</t>
  </si>
  <si>
    <t xml:space="preserve">R-0030</t>
  </si>
  <si>
    <t xml:space="preserve">Step 5: Build the missing pillar component before scaling further. Per Patience: defer growth until the pillar is in place.</t>
  </si>
  <si>
    <t xml:space="preserve">v5.1 L2283</t>
  </si>
  <si>
    <t xml:space="preserve">R-0031</t>
  </si>
  <si>
    <t xml:space="preserve">Step 6: Re-score after completion. Move to the next-weakest pillar.</t>
  </si>
  <si>
    <t xml:space="preserve">v5.1 L2285</t>
  </si>
  <si>
    <t xml:space="preserve">R-0032</t>
  </si>
  <si>
    <t xml:space="preserve">Step 7: Continue until all four pillars score at acceptable levels for current scale. Then scale.</t>
  </si>
  <si>
    <t xml:space="preserve">v5.1 L2287</t>
  </si>
  <si>
    <t xml:space="preserve">R-0033</t>
  </si>
  <si>
    <t xml:space="preserve">ALG:Layer I.C — The Universal Process Registry Algorithm</t>
  </si>
  <si>
    <t xml:space="preserve">Step 1: Identify which of the ten domains the process belongs to: Spiritual, Religious, Psychological, Matrix, Mathematical, Linguistic, Economic, Chemical, Biological, Evolutionary.</t>
  </si>
  <si>
    <t xml:space="preserve">Layer I.C — The Universal Process Registry Algorithm</t>
  </si>
  <si>
    <t xml:space="preserve">v5.1 L2295</t>
  </si>
  <si>
    <t xml:space="preserve">Per unfamiliar process</t>
  </si>
  <si>
    <t xml:space="preserve">R-0034</t>
  </si>
  <si>
    <t xml:space="preserve">Step 2: If the process spans multiple domains, identify the primary domain and note secondary domains.</t>
  </si>
  <si>
    <t xml:space="preserve">v5.1 L2297</t>
  </si>
  <si>
    <t xml:space="preserve">R-0035</t>
  </si>
  <si>
    <t xml:space="preserve">Step 3: Map the process’s DETECT signature: what input does it respond to?</t>
  </si>
  <si>
    <t xml:space="preserve">v5.1 L2299</t>
  </si>
  <si>
    <t xml:space="preserve">R-0036</t>
  </si>
  <si>
    <t xml:space="preserve">Step 4: Map the process’s PROCESS signature: what processing architecture handles the input?</t>
  </si>
  <si>
    <t xml:space="preserve">v5.1 L2301</t>
  </si>
  <si>
    <t xml:space="preserve">R-0037</t>
  </si>
  <si>
    <t xml:space="preserve">Step 5: Map the process’s RESPOND signature: what output is produced?</t>
  </si>
  <si>
    <t xml:space="preserve">v5.1 L2303</t>
  </si>
  <si>
    <t xml:space="preserve">R-0038</t>
  </si>
  <si>
    <t xml:space="preserve">Step 6: Compare to the canonical algorithm for that domain. Where does the unfamiliar process align? Where does it deviate?</t>
  </si>
  <si>
    <t xml:space="preserve">v5.1 L2305</t>
  </si>
  <si>
    <t xml:space="preserve">R-0039</t>
  </si>
  <si>
    <t xml:space="preserve">Step 7: The deviation is the location of insight — either the unfamiliar process is solving a known problem differently, or it is operating in a sub-domain the canonical map has not yet articulated.</t>
  </si>
  <si>
    <t xml:space="preserve">v5.1 L2307</t>
  </si>
  <si>
    <t xml:space="preserve">R-0040</t>
  </si>
  <si>
    <t xml:space="preserve">ALG:Layer I.D — The Yin/Yang Dynamic Middle Algorithm</t>
  </si>
  <si>
    <t xml:space="preserve">Step 1: Identify the axis. What polarity is the system operating along? Active/receptive, expansive/contractive, exterior/interior.</t>
  </si>
  <si>
    <t xml:space="preserve">Layer I.D — The Yin/Yang Dynamic Middle Algorithm</t>
  </si>
  <si>
    <t xml:space="preserve">v5.1 L2315</t>
  </si>
  <si>
    <t xml:space="preserve">Continuous / monthly</t>
  </si>
  <si>
    <t xml:space="preserve">R-0041</t>
  </si>
  <si>
    <t xml:space="preserve">Step 2: Locate the Yang extreme of this axis. What does maximum Yang look like?</t>
  </si>
  <si>
    <t xml:space="preserve">v5.1 L2317</t>
  </si>
  <si>
    <t xml:space="preserve">R-0042</t>
  </si>
  <si>
    <t xml:space="preserve">Step 3: Locate the Yin extreme of this axis. What does maximum Yin look like?</t>
  </si>
  <si>
    <t xml:space="preserve">v5.1 L2319</t>
  </si>
  <si>
    <t xml:space="preserve">R-0043</t>
  </si>
  <si>
    <t xml:space="preserve">Step 4: Identify the current position. Is the system at extreme Yang, extreme Yin, or somewhere between?</t>
  </si>
  <si>
    <t xml:space="preserve">v5.1 L2321</t>
  </si>
  <si>
    <t xml:space="preserve">R-0044</t>
  </si>
  <si>
    <t xml:space="preserve">Step 5: Identify the dynamic middle for current conditions. Where SHOULD the system be operating right now? The middle is not fixed — it shifts based on stage, scale, and circumstance.</t>
  </si>
  <si>
    <t xml:space="preserve">v5.1 L2323</t>
  </si>
  <si>
    <t xml:space="preserve">R-0045</t>
  </si>
  <si>
    <t xml:space="preserve">Step 6: Determine the gap. How far is the system from its current correct middle?</t>
  </si>
  <si>
    <t xml:space="preserve">v5.1 L2325</t>
  </si>
  <si>
    <t xml:space="preserve">R-0046</t>
  </si>
  <si>
    <t xml:space="preserve">Step 7: Apply correction. If too Yang: introduce Yin (rest, reflection, infrastructure, gathering). If too Yin: introduce Yang (action, expression, output, decision).</t>
  </si>
  <si>
    <t xml:space="preserve">v5.1 L2327</t>
  </si>
  <si>
    <t xml:space="preserve">R-0047</t>
  </si>
  <si>
    <t xml:space="preserve">Step 8: Re-locate the middle. After correction, the middle has likely shifted. Begin the cycle again.</t>
  </si>
  <si>
    <t xml:space="preserve">v5.1 L2329</t>
  </si>
  <si>
    <t xml:space="preserve">R-0048</t>
  </si>
  <si>
    <t xml:space="preserve">ALG:Layer I.E — The Energy Continuation Algorithm</t>
  </si>
  <si>
    <t xml:space="preserve">Step 1: Identify the gradient that powered the system’s previous activity. Every functional process runs on a polarity.</t>
  </si>
  <si>
    <t xml:space="preserve">Layer I.E — The Energy Continuation Algorithm</t>
  </si>
  <si>
    <t xml:space="preserve">v5.1 L2337</t>
  </si>
  <si>
    <t xml:space="preserve">Per stall</t>
  </si>
  <si>
    <t xml:space="preserve">R-0049</t>
  </si>
  <si>
    <t xml:space="preserve">Step 2: Determine the gradient’s current state. Is it intact? Collapsing? Already collapsed?</t>
  </si>
  <si>
    <t xml:space="preserve">v5.1 L2339</t>
  </si>
  <si>
    <t xml:space="preserve">R-0050</t>
  </si>
  <si>
    <t xml:space="preserve">Step 3: If the gradient is intact: the system has energy; the issue is elsewhere (likely processing architecture).</t>
  </si>
  <si>
    <t xml:space="preserve">v5.1 L2341</t>
  </si>
  <si>
    <t xml:space="preserve">R-0051</t>
  </si>
  <si>
    <t xml:space="preserve">Step 4: If the gradient is collapsing: identify what new gradient the collapse can seed. Per Punctuated Equilibrium: collapse is the gradient that powers the next expansion.</t>
  </si>
  <si>
    <t xml:space="preserve">v5.1 L2343</t>
  </si>
  <si>
    <t xml:space="preserve">R-0052</t>
  </si>
  <si>
    <t xml:space="preserve">Step 5: If the gradient is already collapsed: locate the new gradient that should already be establishing. If none is establishing, the failure is upstream — trace back to the missing Second or Third Kingdom causation.</t>
  </si>
  <si>
    <t xml:space="preserve">v5.1 L2345</t>
  </si>
  <si>
    <t xml:space="preserve">R-0053</t>
  </si>
  <si>
    <t xml:space="preserve">Step 6: Establish the new gradient deliberately. A gradient is created by establishing differential between two states (current and desired, supply and demand, current state and vision, problem and solution).</t>
  </si>
  <si>
    <t xml:space="preserve">v5.1 L2347</t>
  </si>
  <si>
    <t xml:space="preserve">R-0054</t>
  </si>
  <si>
    <t xml:space="preserve">Step 7: Channel the gradient’s collapse productively. The collapse releases energy. Direct that energy into the work the system is meant to do.</t>
  </si>
  <si>
    <t xml:space="preserve">v5.1 L2349</t>
  </si>
  <si>
    <t xml:space="preserve">R-0055</t>
  </si>
  <si>
    <t xml:space="preserve">Step 8: Anticipate the next collapse. Energy continuation is endless gradient renewal. Plan for what gradient the current collapse will seed.</t>
  </si>
  <si>
    <t xml:space="preserve">v5.1 L2351</t>
  </si>
  <si>
    <t xml:space="preserve">R-0056</t>
  </si>
  <si>
    <t xml:space="preserve">ALG:Layer I.F — The Multi-Level Observation Algorithm</t>
  </si>
  <si>
    <t xml:space="preserve">Step 1: Identify what needs to persist. Is it a project, a relationship, a memory, a business, an idea, a culture?</t>
  </si>
  <si>
    <t xml:space="preserve">Layer I.F — The Multi-Level Observation Algorithm</t>
  </si>
  <si>
    <t xml:space="preserve">v5.1 L2359</t>
  </si>
  <si>
    <t xml:space="preserve">Per asset that must persist</t>
  </si>
  <si>
    <t xml:space="preserve">R-0057</t>
  </si>
  <si>
    <t xml:space="preserve">Step 2: Map the observation levels currently maintaining it. Quantum (physical record), Biological (lineage continuity), Cognitive (someone remembers), Civilizational (institutional record), Cosmological (structural fit), Meta-Cosmological (recursive recognition).</t>
  </si>
  <si>
    <t xml:space="preserve">v5.1 L2361</t>
  </si>
  <si>
    <t xml:space="preserve">R-0058</t>
  </si>
  <si>
    <t xml:space="preserve">Step 3: Identify which observation levels are absent. The missing levels are where continuation will fail.</t>
  </si>
  <si>
    <t xml:space="preserve">v5.1 L2363</t>
  </si>
  <si>
    <t xml:space="preserve">R-0059</t>
  </si>
  <si>
    <t xml:space="preserve">Step 4: Build observation at each missing level. Cognitive: someone must remember and care. Civilizational: there must be institutional record. Physical: there must be First Kingdom artifact.</t>
  </si>
  <si>
    <t xml:space="preserve">v5.1 L2365</t>
  </si>
  <si>
    <t xml:space="preserve">R-0060</t>
  </si>
  <si>
    <t xml:space="preserve">Step 5: Test for perfect process or draw position. The system must be running at one of two stable configurations — perfect optimization (Yang stable) or equilibrium that cannot be lost (Yin stable). Anything between collapses out of the observed lineage.</t>
  </si>
  <si>
    <t xml:space="preserve">v5.1 L2367</t>
  </si>
  <si>
    <t xml:space="preserve">R-0061</t>
  </si>
  <si>
    <t xml:space="preserve">Step 6: Confirm the recursion. Is observation observing itself at this level? Does the system maintain awareness of its own continuation?</t>
  </si>
  <si>
    <t xml:space="preserve">v5.1 L2369</t>
  </si>
  <si>
    <t xml:space="preserve">R-0062</t>
  </si>
  <si>
    <t xml:space="preserve">Step 7: Reinforce the weakest observation level. The recursion is only as strong as its weakest nested layer.</t>
  </si>
  <si>
    <t xml:space="preserve">v5.1 L2371</t>
  </si>
  <si>
    <t xml:space="preserve">R-0063</t>
  </si>
  <si>
    <t xml:space="preserve">ALG:Layer I.G — The Slime Mold Integration Algorithm</t>
  </si>
  <si>
    <t xml:space="preserve">Step 1: Identify the failed path. What was attempted? What did not work?</t>
  </si>
  <si>
    <t xml:space="preserve">Layer I.G — The Slime Mold Integration Algorithm</t>
  </si>
  <si>
    <t xml:space="preserve">v5.1 L2379</t>
  </si>
  <si>
    <t xml:space="preserve">Per failure</t>
  </si>
  <si>
    <t xml:space="preserve">R-0064</t>
  </si>
  <si>
    <t xml:space="preserve">Step 2: Extract the information. What did the failure reveal? What constraints did it map? What approaches did it eliminate from future consideration?</t>
  </si>
  <si>
    <t xml:space="preserve">v5.1 L2381</t>
  </si>
  <si>
    <t xml:space="preserve">R-0065</t>
  </si>
  <si>
    <t xml:space="preserve">Step 3: Identify what the failed path’s information enables in the surviving network. The slime mold retracts protoplasm from inefficient tubes back into the network.</t>
  </si>
  <si>
    <t xml:space="preserve">v5.1 L2383</t>
  </si>
  <si>
    <t xml:space="preserve">R-0066</t>
  </si>
  <si>
    <t xml:space="preserve">Step 4: Integrate the information into current configuration. Do not delete the failure record — preserve it as load-bearing structure that informs every future decision.</t>
  </si>
  <si>
    <t xml:space="preserve">v5.1 L2385</t>
  </si>
  <si>
    <t xml:space="preserve">R-0067</t>
  </si>
  <si>
    <t xml:space="preserve">Step 5: Restart the exploration with the new substrate loaded. Failed paths ten steps deep collapse to step one and restart with the prior path’s information available.</t>
  </si>
  <si>
    <t xml:space="preserve">v5.1 L2387</t>
  </si>
  <si>
    <t xml:space="preserve">R-0068</t>
  </si>
  <si>
    <t xml:space="preserve">Step 6: Trust the integration. Every failure that contributed information is part of what the present configuration is made of. Nothing is lost.</t>
  </si>
  <si>
    <t xml:space="preserve">v5.1 L2389</t>
  </si>
  <si>
    <t xml:space="preserve">R-0069</t>
  </si>
  <si>
    <t xml:space="preserve">Step 7: Apply at every level. Personal failures integrate into individual capability. Organizational failures integrate into institutional knowledge. Civilizational failures integrate into cultural inheritance. The mechanism is identical.</t>
  </si>
  <si>
    <t xml:space="preserve">v5.1 L2391</t>
  </si>
  <si>
    <t xml:space="preserve">R-0070</t>
  </si>
  <si>
    <t xml:space="preserve">ALG:Layer II — The Seven Hermetic Principles Algorithm</t>
  </si>
  <si>
    <t xml:space="preserve">Step 1: Run the seven-principle audit. For each of the seven principles — Mentalism, Correspondence, Vibration, Polarity, Rhythm, Cause and Effect, Gender — ask: is this principle being honored or violated?</t>
  </si>
  <si>
    <t xml:space="preserve">Layer II — The Seven Hermetic Principles Algorithm</t>
  </si>
  <si>
    <t xml:space="preserve">v5.1 L2399</t>
  </si>
  <si>
    <t xml:space="preserve">Per failure diagnosis</t>
  </si>
  <si>
    <t xml:space="preserve">R-0071</t>
  </si>
  <si>
    <t xml:space="preserve">Step 2: Mentalism: is the system’s output traceable to a clear Third Kingdom intent? Or is it First Kingdom reactivity dressed as intent?</t>
  </si>
  <si>
    <t xml:space="preserve">v5.1 L2401</t>
  </si>
  <si>
    <t xml:space="preserve">R-0072</t>
  </si>
  <si>
    <t xml:space="preserve">Step 3: Correspondence: is the same algorithm running at every scale of the system, or are sub-scales operating by contradictory rules?</t>
  </si>
  <si>
    <t xml:space="preserve">v5.1 L2403</t>
  </si>
  <si>
    <t xml:space="preserve">R-0073</t>
  </si>
  <si>
    <t xml:space="preserve">Step 4: Vibration: are the frequencies of components aligned, or is there frequency mismatch causing dissipation?</t>
  </si>
  <si>
    <t xml:space="preserve">v5.1 L2405</t>
  </si>
  <si>
    <t xml:space="preserve">R-0074</t>
  </si>
  <si>
    <t xml:space="preserve">Step 5: Polarity: is the system trying to eliminate one pole rather than recognize that opposites are degree variations along one axis?</t>
  </si>
  <si>
    <t xml:space="preserve">v5.1 L2407</t>
  </si>
  <si>
    <t xml:space="preserve">R-0075</t>
  </si>
  <si>
    <t xml:space="preserve">Step 6: Rhythm: is the system fighting its natural cycles or honoring them?</t>
  </si>
  <si>
    <t xml:space="preserve">v5.1 L2409</t>
  </si>
  <si>
    <t xml:space="preserve">R-0076</t>
  </si>
  <si>
    <t xml:space="preserve">Step 7: Cause and Effect: are causes being set deliberately, or are effects being chased after the fact?</t>
  </si>
  <si>
    <t xml:space="preserve">v5.1 L2411</t>
  </si>
  <si>
    <t xml:space="preserve">R-0077</t>
  </si>
  <si>
    <t xml:space="preserve">Step 8: Gender: is creative work integrating Masculine projection with Feminine reception, or is one principle missing?</t>
  </si>
  <si>
    <t xml:space="preserve">v5.1 L2413</t>
  </si>
  <si>
    <t xml:space="preserve">R-0078</t>
  </si>
  <si>
    <t xml:space="preserve">Step 9: The principle showing the deepest violation is the location of the systemic failure. Apply the corresponding principle’s practical formula to correct.</t>
  </si>
  <si>
    <t xml:space="preserve">v5.1 L2415</t>
  </si>
  <si>
    <t xml:space="preserve">R-0079</t>
  </si>
  <si>
    <t xml:space="preserve">ALG:Layer III — The Process Density Algorithm</t>
  </si>
  <si>
    <t xml:space="preserve">Step 1: Identify the substrate. What unit of space or scope are you operating within?</t>
  </si>
  <si>
    <t xml:space="preserve">Layer III — The Process Density Algorithm</t>
  </si>
  <si>
    <t xml:space="preserve">v5.1 L2423</t>
  </si>
  <si>
    <t xml:space="preserve">Per system design review</t>
  </si>
  <si>
    <t xml:space="preserve">R-0080</t>
  </si>
  <si>
    <t xml:space="preserve">Step 2: Identify the operations. How many simultaneous, interconnected processes are running per unit of substrate?</t>
  </si>
  <si>
    <t xml:space="preserve">v5.1 L2425</t>
  </si>
  <si>
    <t xml:space="preserve">R-0081</t>
  </si>
  <si>
    <t xml:space="preserve">Step 3: Compare to the emergence threshold. Below threshold: search behavior, naive failure cost, no compounding. At threshold: emergence appears — self-sustaining patterns, intelligence-like behavior. Above threshold: rigid, over-coupled, unable to adapt.</t>
  </si>
  <si>
    <t xml:space="preserve">v5.1 L2427</t>
  </si>
  <si>
    <t xml:space="preserve">R-0082</t>
  </si>
  <si>
    <t xml:space="preserve">Step 4: If below threshold: increase density of integrated operations. Add more interconnected processes.</t>
  </si>
  <si>
    <t xml:space="preserve">v5.1 L2429</t>
  </si>
  <si>
    <t xml:space="preserve">R-0083</t>
  </si>
  <si>
    <t xml:space="preserve">Step 5: If at threshold: maintain. Optimize coordination. Resist the temptation to add more.</t>
  </si>
  <si>
    <t xml:space="preserve">v5.1 L2431</t>
  </si>
  <si>
    <t xml:space="preserve">R-0084</t>
  </si>
  <si>
    <t xml:space="preserve">Step 6: If above threshold: reduce coupling. Increase variation tolerance. Allow some operations to fail without cascade.</t>
  </si>
  <si>
    <t xml:space="preserve">v5.1 L2433</t>
  </si>
  <si>
    <t xml:space="preserve">R-0085</t>
  </si>
  <si>
    <t xml:space="preserve">Step 7: Apply Fibonacci sequencing for build order. Each addition is informed by the two prior additions. Do not skip steps.</t>
  </si>
  <si>
    <t xml:space="preserve">v5.1 L2435</t>
  </si>
  <si>
    <t xml:space="preserve">R-0086</t>
  </si>
  <si>
    <t xml:space="preserve">ALG:Layer III+ — The Integration Density Algorithm</t>
  </si>
  <si>
    <t xml:space="preserve">Step 1: Map the prior paths. What has been attempted before in this domain, including failures?</t>
  </si>
  <si>
    <t xml:space="preserve">Layer III+ — The Integration Density Algorithm</t>
  </si>
  <si>
    <t xml:space="preserve">v5.1 L2443</t>
  </si>
  <si>
    <t xml:space="preserve">Per cycle kickoff</t>
  </si>
  <si>
    <t xml:space="preserve">R-0087</t>
  </si>
  <si>
    <t xml:space="preserve">Step 2: Extract the integration data from each path. What did each prior path contribute as information?</t>
  </si>
  <si>
    <t xml:space="preserve">v5.1 L2445</t>
  </si>
  <si>
    <t xml:space="preserve">R-0088</t>
  </si>
  <si>
    <t xml:space="preserve">Step 3: Build current substrate to load all prior path data. Documentation, institutional memory, codified learning, retained team experience.</t>
  </si>
  <si>
    <t xml:space="preserve">v5.1 L2447</t>
  </si>
  <si>
    <t xml:space="preserve">R-0089</t>
  </si>
  <si>
    <t xml:space="preserve">Step 4: Begin new exploration from the integrated substrate. New paths begin with all prior path information available.</t>
  </si>
  <si>
    <t xml:space="preserve">v5.1 L2449</t>
  </si>
  <si>
    <t xml:space="preserve">R-0090</t>
  </si>
  <si>
    <t xml:space="preserve">Step 5: Test for the phi ratio. Is the integration ratio of meaningful path data to total possibility space approximating 1.618? Below: still searching. At: stable. Above: rigid.</t>
  </si>
  <si>
    <t xml:space="preserve">v5.1 L2451</t>
  </si>
  <si>
    <t xml:space="preserve">R-0091</t>
  </si>
  <si>
    <t xml:space="preserve">Step 6: Maintain the ratio by continuing to integrate new paths while continuing to allow new exploration.</t>
  </si>
  <si>
    <t xml:space="preserve">v5.1 L2453</t>
  </si>
  <si>
    <t xml:space="preserve">R-0092</t>
  </si>
  <si>
    <t xml:space="preserve">Step 7: Per the Golden Ratio of Purpose: identify where most-selfish creative desire converges with most-selfless creative desire. The convergence point is the structural attractor for sustained integration.</t>
  </si>
  <si>
    <t xml:space="preserve">v5.1 L2455</t>
  </si>
  <si>
    <t xml:space="preserve">R-0093</t>
  </si>
  <si>
    <t xml:space="preserve">ALG:Layer IV — The Co-Creator Identity Algorithm</t>
  </si>
  <si>
    <t xml:space="preserve">Step 1: Identify your most selfish creative desire. The one with no ceiling. What would you build if no constraint existed? Must be generative, not consumptive.</t>
  </si>
  <si>
    <t xml:space="preserve">Layer IV — The Co-Creator Identity Algorithm</t>
  </si>
  <si>
    <t xml:space="preserve">v5.1 L2463</t>
  </si>
  <si>
    <t xml:space="preserve">Annual / quarterly</t>
  </si>
  <si>
    <t xml:space="preserve">Human-only</t>
  </si>
  <si>
    <t xml:space="preserve">R-0094</t>
  </si>
  <si>
    <t xml:space="preserve">Step 2: Identify your most selfless creative desire. The one that does not exist yet but should. What would you make possible for others? Must be creative, not merely sacrificial.</t>
  </si>
  <si>
    <t xml:space="preserve">v5.1 L2465</t>
  </si>
  <si>
    <t xml:space="preserve">R-0095</t>
  </si>
  <si>
    <t xml:space="preserve">Step 3: Find their convergence. Per Polarity: if both are genuine extremes, they must converge.</t>
  </si>
  <si>
    <t xml:space="preserve">v5.1 L2467</t>
  </si>
  <si>
    <t xml:space="preserve">R-0096</t>
  </si>
  <si>
    <t xml:space="preserve">Step 4: Test the convergence point. Does the most selfish form require service to others? Does the most selfless form produce personal fulfillment? Both must be true.</t>
  </si>
  <si>
    <t xml:space="preserve">v5.1 L2469</t>
  </si>
  <si>
    <t xml:space="preserve">R-0097</t>
  </si>
  <si>
    <t xml:space="preserve">Step 5: The convergence point is your structural purpose. Not aspirational. Derived.</t>
  </si>
  <si>
    <t xml:space="preserve">v5.1 L2471</t>
  </si>
  <si>
    <t xml:space="preserve">R-0098</t>
  </si>
  <si>
    <t xml:space="preserve">Step 6: Apply the filter. Every decision now passes through: does this compound toward the convergence point, or away from it?</t>
  </si>
  <si>
    <t xml:space="preserve">v5.1 L2473</t>
  </si>
  <si>
    <t xml:space="preserve">R-0099</t>
  </si>
  <si>
    <t xml:space="preserve">Step 7: Per the Five Modes of Propagation: choose how the work outlasts you. Direct teaching, demonstration, documentation, system-building, cultural embedding. Most lasting work uses all five.</t>
  </si>
  <si>
    <t xml:space="preserve">v5.1 L2475</t>
  </si>
  <si>
    <t xml:space="preserve">R-0100</t>
  </si>
  <si>
    <t xml:space="preserve">ALG:Layer V — The Garlick Equilibrium Algorithm (BEAS Application)</t>
  </si>
  <si>
    <t xml:space="preserve">Step 1: Score each of the nine departments on each of the four pillars (Correctness, Complexity, Patience, Resilience). Each cell scores 0, 0.5, or 1.</t>
  </si>
  <si>
    <t xml:space="preserve">Layer V — The Garlick Equilibrium Algorithm (BEAS Application)</t>
  </si>
  <si>
    <t xml:space="preserve">v5.1 L2483</t>
  </si>
  <si>
    <t xml:space="preserve">R-0101</t>
  </si>
  <si>
    <t xml:space="preserve">Step 2: Score each department’s coordination with the other eight departments. Each department gets a 0–1 coordination score.</t>
  </si>
  <si>
    <t xml:space="preserve">v5.1 L2485</t>
  </si>
  <si>
    <t xml:space="preserve">R-0102</t>
  </si>
  <si>
    <t xml:space="preserve">Step 3: Sum to a total out of 45. The total reveals current adherence.</t>
  </si>
  <si>
    <t xml:space="preserve">v5.1 L2487</t>
  </si>
  <si>
    <t xml:space="preserve">R-0103</t>
  </si>
  <si>
    <t xml:space="preserve">Step 4: Compare against growth-stage expectation. Pre-revenue tilts Yang (Marketing/Sales). Scaling tilts toward balance. Mature tilts toward Content/Client Success Yin.</t>
  </si>
  <si>
    <t xml:space="preserve">v5.1 L2489</t>
  </si>
  <si>
    <t xml:space="preserve">R-0104</t>
  </si>
  <si>
    <t xml:space="preserve">Step 5: Identify the lowest-scoring department-pillar intersection. This is the immediate location for correction.</t>
  </si>
  <si>
    <t xml:space="preserve">v5.1 L2491</t>
  </si>
  <si>
    <t xml:space="preserve">R-0105</t>
  </si>
  <si>
    <t xml:space="preserve">Step 6: Apply Layer VI (Shepherd’s Way) to that specific cell. Direct, Guide, Gather, Organize, Create, Database, Repetition.</t>
  </si>
  <si>
    <t xml:space="preserve">v5.1 L2493</t>
  </si>
  <si>
    <t xml:space="preserve">R-0106</t>
  </si>
  <si>
    <t xml:space="preserve">Step 7: Re-score monthly. The middle moves; the assessment must move with it.</t>
  </si>
  <si>
    <t xml:space="preserve">v5.1 L2495</t>
  </si>
  <si>
    <t xml:space="preserve">R-0107</t>
  </si>
  <si>
    <t xml:space="preserve">ALG:Layer VI — The Shepherd’s Way Algorithm</t>
  </si>
  <si>
    <t xml:space="preserve">Step 1: Direct. Define the intent before anything else is touched. What outcome? What problem? What scope? Without a clear Direct, all gathering is noise.</t>
  </si>
  <si>
    <t xml:space="preserve">Layer VI — The Shepherd’s Way Algorithm</t>
  </si>
  <si>
    <t xml:space="preserve">v5.1 L2503</t>
  </si>
  <si>
    <t xml:space="preserve">Per build / fix / extend</t>
  </si>
  <si>
    <t xml:space="preserve">R-0108</t>
  </si>
  <si>
    <t xml:space="preserve">Step 2: Guide. Structure the intake. Build the container before information enters it. Which questions need answering? Which stakeholders? Which systems?</t>
  </si>
  <si>
    <t xml:space="preserve">v5.1 L2505</t>
  </si>
  <si>
    <t xml:space="preserve">R-0109</t>
  </si>
  <si>
    <t xml:space="preserve">Step 3: Gather. Collect everything. SOPs, tribal knowledge, existing tools, pain points, workflows, expectations, flows, tools, contractor relationships. Hold every variable open. Filter nothing.</t>
  </si>
  <si>
    <t xml:space="preserve">v5.1 L2507</t>
  </si>
  <si>
    <t xml:space="preserve">R-0110</t>
  </si>
  <si>
    <t xml:space="preserve">Step 4: Organize. Take the raw data and structure it into a usable blueprint. Categorize. Identify patterns. Map dependencies. Sequence by socks-before-shoes order.</t>
  </si>
  <si>
    <t xml:space="preserve">v5.1 L2509</t>
  </si>
  <si>
    <t xml:space="preserve">R-0111</t>
  </si>
  <si>
    <t xml:space="preserve">Step 5: Create. Now and only now does creation begin. Because the blueprint exists, builds that would take weeks take hours. Speed comes from prior thoroughness.</t>
  </si>
  <si>
    <t xml:space="preserve">v5.1 L2511</t>
  </si>
  <si>
    <t xml:space="preserve">R-0112</t>
  </si>
  <si>
    <t xml:space="preserve">Step 6: Database. Document everything. SOPs. Recordings. Transcripts. Email recaps. If it is not written, it does not exist as a process.</t>
  </si>
  <si>
    <t xml:space="preserve">v5.1 L2513</t>
  </si>
  <si>
    <t xml:space="preserve">R-0113</t>
  </si>
  <si>
    <t xml:space="preserve">Step 7: Repetition. The cycle closes and restarts at a higher baseline. Each repetition is informed by the prior cycle. New Thought re-enters at Gather, not at the beginning.</t>
  </si>
  <si>
    <t xml:space="preserve">v5.1 L2515</t>
  </si>
  <si>
    <t xml:space="preserve">R-0114</t>
  </si>
  <si>
    <t xml:space="preserve">ALG:Layer VII — The ACE System Algorithm (Sales / Revenue Process)</t>
  </si>
  <si>
    <t xml:space="preserve">Step 1: Acquisition. Centralize attention channels. Tag at capture. Automate first response. Track ROI per channel. Reallocate to highest converters.</t>
  </si>
  <si>
    <t xml:space="preserve">Layer VII — The ACE System Algorithm (Sales / Revenue Process)</t>
  </si>
  <si>
    <t xml:space="preserve">v5.1 L2523</t>
  </si>
  <si>
    <t xml:space="preserve">R-0115</t>
  </si>
  <si>
    <t xml:space="preserve">Step 2: Creation. Run the seven-step script: Permission, Discovery, Pain Excavation, Vision Pull, Solution Bridge, Offer Stack, Close. Each step has Yin/Yang phase — honor it.</t>
  </si>
  <si>
    <t xml:space="preserve">v5.1 L2525</t>
  </si>
  <si>
    <t xml:space="preserve">R-0116</t>
  </si>
  <si>
    <t xml:space="preserve">Step 3: Objection handling: I.A.C.E. Isolate the real objection beneath the stated one. Acknowledge before shifting. Clarify with precision. Eliminate or escalate honestly.</t>
  </si>
  <si>
    <t xml:space="preserve">v5.1 L2527</t>
  </si>
  <si>
    <t xml:space="preserve">R-0117</t>
  </si>
  <si>
    <t xml:space="preserve">Step 4: Expansion. Post-sale: automated referral sequences, monthly result reporting, quarterly review sessions. Expansion comes from served clients, not pursued ones.</t>
  </si>
  <si>
    <t xml:space="preserve">v5.1 L2529</t>
  </si>
  <si>
    <t xml:space="preserve">R-0118</t>
  </si>
  <si>
    <t xml:space="preserve">Step 5: Document every interaction in CRM at capture. Per Database step: if not written, did not happen.</t>
  </si>
  <si>
    <t xml:space="preserve">v5.1 L2531</t>
  </si>
  <si>
    <t xml:space="preserve">R-0119</t>
  </si>
  <si>
    <t xml:space="preserve">Step 6: Measure conversion at each step in the funnel. Identify the lowest-conversion step. Improve that step before optimizing elsewhere.</t>
  </si>
  <si>
    <t xml:space="preserve">R-0120</t>
  </si>
  <si>
    <t xml:space="preserve">Step 7: Close the loop with Repetition. Each cycle informs the next.</t>
  </si>
  <si>
    <t xml:space="preserve">v5.1 L2535</t>
  </si>
  <si>
    <t xml:space="preserve">R-0121</t>
  </si>
  <si>
    <t xml:space="preserve">ALG:Layer ◇ — The Falsifiability Algorithm</t>
  </si>
  <si>
    <t xml:space="preserve">Step 1: State the claim with maximum precision.</t>
  </si>
  <si>
    <t xml:space="preserve">Layer ◇ — The Falsifiability Algorithm</t>
  </si>
  <si>
    <t xml:space="preserve">v5.1 L2543</t>
  </si>
  <si>
    <t xml:space="preserve">Per claim</t>
  </si>
  <si>
    <t xml:space="preserve">R-0122</t>
  </si>
  <si>
    <t xml:space="preserve">Step 2: Identify what observation would falsify the claim. If no observation would falsify it, the claim is not a claim — it is a belief.</t>
  </si>
  <si>
    <t xml:space="preserve">v5.1 L2545</t>
  </si>
  <si>
    <t xml:space="preserve">R-0123</t>
  </si>
  <si>
    <t xml:space="preserve">Step 3: Identify the current evidence supporting the claim.</t>
  </si>
  <si>
    <t xml:space="preserve">v5.1 L2547</t>
  </si>
  <si>
    <t xml:space="preserve">R-0124</t>
  </si>
  <si>
    <t xml:space="preserve">Step 4: Identify the current evidence challenging the claim.</t>
  </si>
  <si>
    <t xml:space="preserve">v5.1 L2549</t>
  </si>
  <si>
    <t xml:space="preserve">R-0125</t>
  </si>
  <si>
    <t xml:space="preserve">Step 5: Locate the variable boundaries. What range does the claim operate within?</t>
  </si>
  <si>
    <t xml:space="preserve">v5.1 L2551</t>
  </si>
  <si>
    <t xml:space="preserve">R-0126</t>
  </si>
  <si>
    <t xml:space="preserve">Step 6: Status the claim. Resolved (with evidence), bounded (range narrowed), held open (variable acknowledged), or refuted (falsifying evidence found).</t>
  </si>
  <si>
    <t xml:space="preserve">v5.1 L2553</t>
  </si>
  <si>
    <t xml:space="preserve">R-0127</t>
  </si>
  <si>
    <t xml:space="preserve">Step 7: If held open: name the conditions under which it would tighten or resolve. If refuted: revise.</t>
  </si>
  <si>
    <t xml:space="preserve">v5.1 L2555</t>
  </si>
  <si>
    <t xml:space="preserve">R-0128</t>
  </si>
  <si>
    <t xml:space="preserve">ALG:Negotiation Algorithm</t>
  </si>
  <si>
    <t xml:space="preserve">Step 1: Locate the gradient. Identify what each party wants and what each is willing to exchange. The gradient between the two states is what powers the negotiation.</t>
  </si>
  <si>
    <t xml:space="preserve">Negotiation Algorithm</t>
  </si>
  <si>
    <t xml:space="preserve">v5.1 L2575</t>
  </si>
  <si>
    <t xml:space="preserve">Per negotiation</t>
  </si>
  <si>
    <t xml:space="preserve">R-0129</t>
  </si>
  <si>
    <t xml:space="preserve">Step 2: Match frequency before shifting. Per Vibration: rapport is matched frequency. Establish it before any position is presented.</t>
  </si>
  <si>
    <t xml:space="preserve">v5.1 L2577</t>
  </si>
  <si>
    <t xml:space="preserve">R-0130</t>
  </si>
  <si>
    <t xml:space="preserve">Step 3: Run pure discovery. Listen until the other party’s actual interest — not stated position — is visible. Stated positions are surface; interests are the structural variables.</t>
  </si>
  <si>
    <t xml:space="preserve">v5.1 L2579</t>
  </si>
  <si>
    <t xml:space="preserve">R-0131</t>
  </si>
  <si>
    <t xml:space="preserve">Step 4: Identify the polarity. The other party’s objection is the same axis as their desire, at a different degree. “Too expensive” is the same axis as “I want value.”</t>
  </si>
  <si>
    <t xml:space="preserve">v5.1 L2581</t>
  </si>
  <si>
    <t xml:space="preserve">R-0132</t>
  </si>
  <si>
    <t xml:space="preserve">Step 5: Frame the dynamic middle. Neither extreme position can hold; the dynamic middle is where both parties’ interests find expression.</t>
  </si>
  <si>
    <t xml:space="preserve">v5.1 L2583</t>
  </si>
  <si>
    <t xml:space="preserve">R-0133</t>
  </si>
  <si>
    <t xml:space="preserve">Step 6: Make the offer. Yang: present clearly. Yin: receive response without pressure.</t>
  </si>
  <si>
    <t xml:space="preserve">v5.1 L2585</t>
  </si>
  <si>
    <t xml:space="preserve">R-0134</t>
  </si>
  <si>
    <t xml:space="preserve">Step 7: Run I.A.C.E. on objections. Isolate, Acknowledge, Clarify, Eliminate or Escalate.</t>
  </si>
  <si>
    <t xml:space="preserve">v5.1 L2587</t>
  </si>
  <si>
    <t xml:space="preserve">R-0135</t>
  </si>
  <si>
    <t xml:space="preserve">Step 8: Close at the dynamic middle or honestly walk away. Forced closes that violate the dynamic middle produce buyer’s remorse and unwound deals.</t>
  </si>
  <si>
    <t xml:space="preserve">v5.1 L2589</t>
  </si>
  <si>
    <t xml:space="preserve">R-0136</t>
  </si>
  <si>
    <t xml:space="preserve">Step 9: Document the agreement immediately. Per Database: if not written, did not happen.</t>
  </si>
  <si>
    <t xml:space="preserve">v5.1 L2591</t>
  </si>
  <si>
    <t xml:space="preserve">R-0137</t>
  </si>
  <si>
    <t xml:space="preserve">ALG:Software Development Algorithm</t>
  </si>
  <si>
    <t xml:space="preserve">Step 1: Direct. State the problem the software solves in one sentence. If you cannot, do not begin coding.</t>
  </si>
  <si>
    <t xml:space="preserve">v5.1 L2597</t>
  </si>
  <si>
    <t xml:space="preserve">Per software build</t>
  </si>
  <si>
    <t xml:space="preserve">R-0138</t>
  </si>
  <si>
    <t xml:space="preserve">Step 2: Guide. Structure the requirements gathering: which users, which workflows, which systems integrate, which data flows.</t>
  </si>
  <si>
    <t xml:space="preserve">v5.1 L2599</t>
  </si>
  <si>
    <t xml:space="preserve">R-0139</t>
  </si>
  <si>
    <t xml:space="preserve">Step 3: Gather. Capture every constraint: technical, business, user behavior, performance, security, scale. Hold every variable open.</t>
  </si>
  <si>
    <t xml:space="preserve">v5.1 L2601</t>
  </si>
  <si>
    <t xml:space="preserve">R-0140</t>
  </si>
  <si>
    <t xml:space="preserve">Step 4: Organize. Build the architecture blueprint before writing code. Data model, system boundaries, dependency graph, deployment topology, failure modes.</t>
  </si>
  <si>
    <t xml:space="preserve">v5.1 L2603</t>
  </si>
  <si>
    <t xml:space="preserve">R-0141</t>
  </si>
  <si>
    <t xml:space="preserve">Step 5: Identify the gradient. What state should the user be transitioned from to? The software’s job is to channel that gradient.</t>
  </si>
  <si>
    <t xml:space="preserve">v5.1 L2605</t>
  </si>
  <si>
    <t xml:space="preserve">R-0142</t>
  </si>
  <si>
    <t xml:space="preserve">Step 6: Apply Process Density: complexity must be sufficient to handle real cases without being so complex it becomes brittle.</t>
  </si>
  <si>
    <t xml:space="preserve">v5.1 L2607</t>
  </si>
  <si>
    <t xml:space="preserve">R-0143</t>
  </si>
  <si>
    <t xml:space="preserve">Step 7: Build incrementally per Fibonacci. Each feature builds on prior two. Do not implement features before their dependencies.</t>
  </si>
  <si>
    <t xml:space="preserve">v5.1 L2609</t>
  </si>
  <si>
    <t xml:space="preserve">R-0144</t>
  </si>
  <si>
    <t xml:space="preserve">Step 8: Test against the falsifiability standard. What input would prove the software wrong? Write that test.</t>
  </si>
  <si>
    <t xml:space="preserve">v5.1 L2611</t>
  </si>
  <si>
    <t xml:space="preserve">R-0145</t>
  </si>
  <si>
    <t xml:space="preserve">Step 9: Document the architecture, the assumptions, and the variables held open. Per Database step.</t>
  </si>
  <si>
    <t xml:space="preserve">v5.1 L2613</t>
  </si>
  <si>
    <t xml:space="preserve">R-0146</t>
  </si>
  <si>
    <t xml:space="preserve">Step 10: Deploy to production. Observe behavior. Per the Slime Mold Integration: every production failure is information for the next iteration.</t>
  </si>
  <si>
    <t xml:space="preserve">v5.1 L2615</t>
  </si>
  <si>
    <t xml:space="preserve">R-0147</t>
  </si>
  <si>
    <t xml:space="preserve">Step 11: Iterate at higher baseline. Repetition with integrated learning.</t>
  </si>
  <si>
    <t xml:space="preserve">v5.1 L2617</t>
  </si>
  <si>
    <t xml:space="preserve">R-0148</t>
  </si>
  <si>
    <t xml:space="preserve">ALG:Sales Algorithm</t>
  </si>
  <si>
    <t xml:space="preserve">Step 1: Capture lead with full source attribution.</t>
  </si>
  <si>
    <t xml:space="preserve">Sales Algorithm</t>
  </si>
  <si>
    <t xml:space="preserve">v5.1 L2625</t>
  </si>
  <si>
    <t xml:space="preserve">Per lead</t>
  </si>
  <si>
    <t xml:space="preserve">R-0149</t>
  </si>
  <si>
    <t xml:space="preserve">Step 2: Respond instantly — zero lag automated first contact.</t>
  </si>
  <si>
    <t xml:space="preserve">v5.1 L2627</t>
  </si>
  <si>
    <t xml:space="preserve">R-0150</t>
  </si>
  <si>
    <t xml:space="preserve">Step 3: Permission and frame the conversation.</t>
  </si>
  <si>
    <t xml:space="preserve">v5.1 L2629</t>
  </si>
  <si>
    <t xml:space="preserve">R-0151</t>
  </si>
  <si>
    <t xml:space="preserve">Step 4: Run pure discovery before presenting anything.</t>
  </si>
  <si>
    <t xml:space="preserve">v5.1 L2631</t>
  </si>
  <si>
    <t xml:space="preserve">R-0152</t>
  </si>
  <si>
    <t xml:space="preserve">Step 5: Excavate the cost of current state.</t>
  </si>
  <si>
    <t xml:space="preserve">v5.1 L2633</t>
  </si>
  <si>
    <t xml:space="preserve">R-0153</t>
  </si>
  <si>
    <t xml:space="preserve">Step 6: Pull the vision of desired state.</t>
  </si>
  <si>
    <t xml:space="preserve">v5.1 L2635</t>
  </si>
  <si>
    <t xml:space="preserve">R-0154</t>
  </si>
  <si>
    <t xml:space="preserve">Step 7: Bridge with specific solution.</t>
  </si>
  <si>
    <t xml:space="preserve">v5.1 L2637</t>
  </si>
  <si>
    <t xml:space="preserve">R-0155</t>
  </si>
  <si>
    <t xml:space="preserve">Step 8: Stack offers, let prospect self-select tier.</t>
  </si>
  <si>
    <t xml:space="preserve">v5.1 L2639</t>
  </si>
  <si>
    <t xml:space="preserve">R-0156</t>
  </si>
  <si>
    <t xml:space="preserve">Step 9: Close or run I.A.C.E. on objections.</t>
  </si>
  <si>
    <t xml:space="preserve">v5.1 L2641</t>
  </si>
  <si>
    <t xml:space="preserve">R-0157</t>
  </si>
  <si>
    <t xml:space="preserve">Step 10: Document call notes, deliverables, contract.</t>
  </si>
  <si>
    <t xml:space="preserve">v5.1 L2643</t>
  </si>
  <si>
    <t xml:space="preserve">R-0158</t>
  </si>
  <si>
    <t xml:space="preserve">Step 11: Hand off to onboarding with full context preserved.</t>
  </si>
  <si>
    <t xml:space="preserve">R-0159</t>
  </si>
  <si>
    <t xml:space="preserve">Step 12: Trigger expansion sequence on first successful deliverable.</t>
  </si>
  <si>
    <t xml:space="preserve">v5.1 L2647</t>
  </si>
  <si>
    <t xml:space="preserve">R-0160</t>
  </si>
  <si>
    <t xml:space="preserve">ALG:Hiring Algorithm</t>
  </si>
  <si>
    <t xml:space="preserve">Step 1: Direct. State the role’s structural purpose: what would not happen without this hire?</t>
  </si>
  <si>
    <t xml:space="preserve">Hiring Algorithm</t>
  </si>
  <si>
    <t xml:space="preserve">v5.1 L2653</t>
  </si>
  <si>
    <t xml:space="preserve">Per role</t>
  </si>
  <si>
    <t xml:space="preserve">R-0161</t>
  </si>
  <si>
    <t xml:space="preserve">Step 2: Guide. Structure the role’s requirements across the four pillars: Correctness (skills), Complexity (scope), Patience (judgment), Resilience (handling pressure).</t>
  </si>
  <si>
    <t xml:space="preserve">v5.1 L2655</t>
  </si>
  <si>
    <t xml:space="preserve">R-0162</t>
  </si>
  <si>
    <t xml:space="preserve">Step 3: Gather. Source candidates across multiple channels. Capture all data without premature filtering.</t>
  </si>
  <si>
    <t xml:space="preserve">v5.1 L2657</t>
  </si>
  <si>
    <t xml:space="preserve">R-0163</t>
  </si>
  <si>
    <t xml:space="preserve">Step 4: Organize. Score each candidate against the four pillars. Identify which pillars they meet, which they grow into, which they cannot meet.</t>
  </si>
  <si>
    <t xml:space="preserve">v5.1 L2659</t>
  </si>
  <si>
    <t xml:space="preserve">R-0164</t>
  </si>
  <si>
    <t xml:space="preserve">Step 5: Run Three Kingdoms diagnosis. Does the candidate operate from First Kingdom reactivity, Second Kingdom system, or Third Kingdom intent? Roles requiring autonomy need Third Kingdom operators.</t>
  </si>
  <si>
    <t xml:space="preserve">v5.1 L2661</t>
  </si>
  <si>
    <t xml:space="preserve">R-0165</t>
  </si>
  <si>
    <t xml:space="preserve">Step 6: Test for frequency match. Per Vibration: a candidate whose frequency matches the team accelerates integration. A frequency mismatch produces ongoing friction regardless of skill.</t>
  </si>
  <si>
    <t xml:space="preserve">v5.1 L2663</t>
  </si>
  <si>
    <t xml:space="preserve">R-0166</t>
  </si>
  <si>
    <t xml:space="preserve">Step 7: Reference verify. Every check must be made; tribal knowledge from prior employers reveals patterns.</t>
  </si>
  <si>
    <t xml:space="preserve">v5.1 L2665</t>
  </si>
  <si>
    <t xml:space="preserve">R-0167</t>
  </si>
  <si>
    <t xml:space="preserve">Step 8: Make the offer at the dynamic middle of compensation — enough to attract, not so much it distorts internal equity.</t>
  </si>
  <si>
    <t xml:space="preserve">R-0168</t>
  </si>
  <si>
    <t xml:space="preserve">Step 9: Onboard via the Immersion Model: full data capture, structured intake, blueprint of role expectations, documented playbook.</t>
  </si>
  <si>
    <t xml:space="preserve">v5.1 L2669</t>
  </si>
  <si>
    <t xml:space="preserve">R-0169</t>
  </si>
  <si>
    <t xml:space="preserve">Step 10: Probationary review at 30, 60, 90 days. Apply BEAS to the role-fit at each interval.</t>
  </si>
  <si>
    <t xml:space="preserve">R-0170</t>
  </si>
  <si>
    <t xml:space="preserve">ALG:Client Onboarding Algorithm</t>
  </si>
  <si>
    <t xml:space="preserve">Step 1: Pre-immersion prep. Review all materials; identify known knowns, known unknowns, gaps.</t>
  </si>
  <si>
    <t xml:space="preserve">Client Onboarding Algorithm</t>
  </si>
  <si>
    <t xml:space="preserve">v5.1 L2677</t>
  </si>
  <si>
    <t xml:space="preserve">Per new client</t>
  </si>
  <si>
    <t xml:space="preserve">R-0171</t>
  </si>
  <si>
    <t xml:space="preserve">Step 2: Calibration session. Establish rapport. Match frequency. Frame the engagement as data collection, not decision-making.</t>
  </si>
  <si>
    <t xml:space="preserve">v5.1 L2679</t>
  </si>
  <si>
    <t xml:space="preserve">R-0172</t>
  </si>
  <si>
    <t xml:space="preserve">Step 3: Full data capture. Record everything. Workflows, tools, team dynamics, pain points, revenue flows, customer journey, founder vision.</t>
  </si>
  <si>
    <t xml:space="preserve">v5.1 L2681</t>
  </si>
  <si>
    <t xml:space="preserve">R-0173</t>
  </si>
  <si>
    <t xml:space="preserve">Step 4: Organize phase. Apply Shepherd’s Way step 4 to the raw capture. Categorize. Map dependencies. Flag contradictions.</t>
  </si>
  <si>
    <t xml:space="preserve">v5.1 L2683</t>
  </si>
  <si>
    <t xml:space="preserve">R-0174</t>
  </si>
  <si>
    <t xml:space="preserve">Step 5: Blueprint delivery. Within 48 hours: current state Three Kingdoms map, identified gaps, proposed build sequence (Fibonacci), baseline scoring, 90-day roadmap.</t>
  </si>
  <si>
    <t xml:space="preserve">v5.1 L2685</t>
  </si>
  <si>
    <t xml:space="preserve">R-0175</t>
  </si>
  <si>
    <t xml:space="preserve">Step 6: Build phase. Execute against blueprint. Every session recorded. Every deliverable emailed same day.</t>
  </si>
  <si>
    <t xml:space="preserve">v5.1 L2687</t>
  </si>
  <si>
    <t xml:space="preserve">R-0176</t>
  </si>
  <si>
    <t xml:space="preserve">Step 7: First-result reporting. The first measurable result is the trigger for trust deepening; produce it within 30 days.</t>
  </si>
  <si>
    <t xml:space="preserve">v5.1 L2689</t>
  </si>
  <si>
    <t xml:space="preserve">R-0177</t>
  </si>
  <si>
    <t xml:space="preserve">Step 8: Monthly review. Apply BEAS. Adjust the dynamic middle of engagement intensity.</t>
  </si>
  <si>
    <t xml:space="preserve">v5.1 L2691</t>
  </si>
  <si>
    <t xml:space="preserve">R-0178</t>
  </si>
  <si>
    <t xml:space="preserve">Step 9: Quarterly Immersion review. Re-capture state. Update blueprint. Identify next Fibonacci step.</t>
  </si>
  <si>
    <t xml:space="preserve">v5.1 L2693</t>
  </si>
  <si>
    <t xml:space="preserve">R-0179</t>
  </si>
  <si>
    <t xml:space="preserve">Step 10: Document the entire engagement so it is reproducible without you.</t>
  </si>
  <si>
    <t xml:space="preserve">v5.1 L2695</t>
  </si>
  <si>
    <t xml:space="preserve">R-0180</t>
  </si>
  <si>
    <t xml:space="preserve">ALG:Decision-Making Algorithm</t>
  </si>
  <si>
    <t xml:space="preserve">Step 1: Identify the decision. State it precisely — if you cannot state it, you have not yet identified it.</t>
  </si>
  <si>
    <t xml:space="preserve">v5.1 L2701</t>
  </si>
  <si>
    <t xml:space="preserve">Per material decision</t>
  </si>
  <si>
    <t xml:space="preserve">R-0181</t>
  </si>
  <si>
    <t xml:space="preserve">Step 2: Locate which Kingdom the decision needs to come from. Reactive choice is First. Strategic choice is Second. Vision choice is Third.</t>
  </si>
  <si>
    <t xml:space="preserve">v5.1 L2703</t>
  </si>
  <si>
    <t xml:space="preserve">R-0182</t>
  </si>
  <si>
    <t xml:space="preserve">Step 3: Identify the variables. What is measurable? What is held open? Per the Variable Principle: never fill a variable with assumption.</t>
  </si>
  <si>
    <t xml:space="preserve">v5.1 L2705</t>
  </si>
  <si>
    <t xml:space="preserve">R-0183</t>
  </si>
  <si>
    <t xml:space="preserve">Step 4: Identify the gradient. Decisions that align with established gradients require less force. Decisions that require new gradient establishment require more deliberate cause-setting.</t>
  </si>
  <si>
    <t xml:space="preserve">v5.1 L2707</t>
  </si>
  <si>
    <t xml:space="preserve">R-0184</t>
  </si>
  <si>
    <t xml:space="preserve">Step 5: Run the Hermetic audit (Layer II algorithm). Which principle would be violated by each option?</t>
  </si>
  <si>
    <t xml:space="preserve">v5.1 L2709</t>
  </si>
  <si>
    <t xml:space="preserve">R-0185</t>
  </si>
  <si>
    <t xml:space="preserve">Step 6: Identify the dynamic middle. Most decisions present false binary; the middle position usually exists.</t>
  </si>
  <si>
    <t xml:space="preserve">v5.1 L2711</t>
  </si>
  <si>
    <t xml:space="preserve">R-0186</t>
  </si>
  <si>
    <t xml:space="preserve">Step 7: Test against falsifiability: what would tell you the decision was wrong? If nothing would, you are not making a real decision.</t>
  </si>
  <si>
    <t xml:space="preserve">v5.1 L2713</t>
  </si>
  <si>
    <t xml:space="preserve">R-0187</t>
  </si>
  <si>
    <t xml:space="preserve">Step 8: Decide. Set the cause.</t>
  </si>
  <si>
    <t xml:space="preserve">v5.1 L2715</t>
  </si>
  <si>
    <t xml:space="preserve">R-0188</t>
  </si>
  <si>
    <t xml:space="preserve">Step 9: Document the decision and its expected outcome. The documented expectation is what makes evaluation possible.</t>
  </si>
  <si>
    <t xml:space="preserve">v5.1 L2717</t>
  </si>
  <si>
    <t xml:space="preserve">R-0189</t>
  </si>
  <si>
    <t xml:space="preserve">Step 10: Observe the actual outcome against the predicted. Integrate the gap as information per the Slime Mold mechanism.</t>
  </si>
  <si>
    <t xml:space="preserve">v5.1 L2719</t>
  </si>
  <si>
    <t xml:space="preserve">R-0190</t>
  </si>
  <si>
    <t xml:space="preserve">ALG:Conflict Resolution Algorithm</t>
  </si>
  <si>
    <t xml:space="preserve">Step 1: Locate the polarity. Conflict is two parties operating from opposite poles of the same axis. Identify the axis.</t>
  </si>
  <si>
    <t xml:space="preserve">v5.1 L2725</t>
  </si>
  <si>
    <t xml:space="preserve">Per conflict</t>
  </si>
  <si>
    <t xml:space="preserve">R-0191</t>
  </si>
  <si>
    <t xml:space="preserve">Step 2: Recognize that opposites are degree variations along one axis, not different things. The parties want the same thing in different forms.</t>
  </si>
  <si>
    <t xml:space="preserve">v5.1 L2727</t>
  </si>
  <si>
    <t xml:space="preserve">R-0192</t>
  </si>
  <si>
    <t xml:space="preserve">Step 3: Match frequencies before introducing change. Lower the temperature before resolving content.</t>
  </si>
  <si>
    <t xml:space="preserve">v5.1 L2729</t>
  </si>
  <si>
    <t xml:space="preserve">R-0193</t>
  </si>
  <si>
    <t xml:space="preserve">Step 4: Run pure discovery on each party’s actual interest, not their stated position.</t>
  </si>
  <si>
    <t xml:space="preserve">v5.1 L2731</t>
  </si>
  <si>
    <t xml:space="preserve">R-0194</t>
  </si>
  <si>
    <t xml:space="preserve">Step 5: Identify what shared interest exists beneath the conflict. There almost always is one.</t>
  </si>
  <si>
    <t xml:space="preserve">v5.1 L2733</t>
  </si>
  <si>
    <t xml:space="preserve">R-0195</t>
  </si>
  <si>
    <t xml:space="preserve">Step 6: Locate the dynamic middle. Where does each party’s interest find legitimate expression?</t>
  </si>
  <si>
    <t xml:space="preserve">v5.1 L2735</t>
  </si>
  <si>
    <t xml:space="preserve">R-0196</t>
  </si>
  <si>
    <t xml:space="preserve">Step 7: Frame the resolution as expanding the field of solution rather than splitting the existing one.</t>
  </si>
  <si>
    <t xml:space="preserve">v5.1 L2737</t>
  </si>
  <si>
    <t xml:space="preserve">R-0197</t>
  </si>
  <si>
    <t xml:space="preserve">Step 8: Confirm acceptance through behavior, not just words.</t>
  </si>
  <si>
    <t xml:space="preserve">v5.1 L2739</t>
  </si>
  <si>
    <t xml:space="preserve">R-0198</t>
  </si>
  <si>
    <t xml:space="preserve">Step 9: Document the resolution and the principle behind it. The principle is what generalizes to future similar conflicts.</t>
  </si>
  <si>
    <t xml:space="preserve">v5.1 L2741</t>
  </si>
  <si>
    <t xml:space="preserve">R-0199</t>
  </si>
  <si>
    <t xml:space="preserve">ALG:Strategic Planning Algorithm</t>
  </si>
  <si>
    <t xml:space="preserve">Step 1: Direct. State the time horizon and the desired state at the end of that horizon.</t>
  </si>
  <si>
    <t xml:space="preserve">v5.1 L2747</t>
  </si>
  <si>
    <t xml:space="preserve">Quarterly; monthly review</t>
  </si>
  <si>
    <t xml:space="preserve">R-0200</t>
  </si>
  <si>
    <t xml:space="preserve">Step 2: Run Three Kingdoms diagnosis on current state. Where is each Kingdom strong? Where is each weak?</t>
  </si>
  <si>
    <t xml:space="preserve">v5.1 L2749</t>
  </si>
  <si>
    <t xml:space="preserve">R-0201</t>
  </si>
  <si>
    <t xml:space="preserve">Step 3: Map the gap between current and desired state across all three Kingdoms.</t>
  </si>
  <si>
    <t xml:space="preserve">v5.1 L2751</t>
  </si>
  <si>
    <t xml:space="preserve">R-0202</t>
  </si>
  <si>
    <t xml:space="preserve">Step 4: Apply Fibonacci sequencing to the build path. What is the foundation cycle? What is the first expression cycle? What follows?</t>
  </si>
  <si>
    <t xml:space="preserve">v5.1 L2753</t>
  </si>
  <si>
    <t xml:space="preserve">R-0203</t>
  </si>
  <si>
    <t xml:space="preserve">Step 5: Identify the gradients that will power the work. What polarities will be established and channeled?</t>
  </si>
  <si>
    <t xml:space="preserve">v5.1 L2755</t>
  </si>
  <si>
    <t xml:space="preserve">R-0204</t>
  </si>
  <si>
    <t xml:space="preserve">Step 6: Apply BEAS to current state. Identify which departments will need most attention at which Fibonacci step.</t>
  </si>
  <si>
    <t xml:space="preserve">v5.1 L2757</t>
  </si>
  <si>
    <t xml:space="preserve">R-0205</t>
  </si>
  <si>
    <t xml:space="preserve">Step 7: Locate the dynamic middle of risk. Too cautious wastes the window; too aggressive overextends infrastructure.</t>
  </si>
  <si>
    <t xml:space="preserve">v5.1 L2759</t>
  </si>
  <si>
    <t xml:space="preserve">R-0206</t>
  </si>
  <si>
    <t xml:space="preserve">Step 8: State the falsifiability conditions for the plan. What would tell you the strategy is wrong?</t>
  </si>
  <si>
    <t xml:space="preserve">v5.1 L2761</t>
  </si>
  <si>
    <t xml:space="preserve">R-0207</t>
  </si>
  <si>
    <t xml:space="preserve">Step 9: Document the plan with explicit assumptions and held-open variables.</t>
  </si>
  <si>
    <t xml:space="preserve">v5.1 L2763</t>
  </si>
  <si>
    <t xml:space="preserve">R-0208</t>
  </si>
  <si>
    <t xml:space="preserve">Step 10: Review against actual outcomes monthly. Adjust the dynamic middle as conditions evolve.</t>
  </si>
  <si>
    <t xml:space="preserve">v5.1 L2765</t>
  </si>
  <si>
    <t xml:space="preserve">R-0209</t>
  </si>
  <si>
    <t xml:space="preserve">ALG:Personal Development Algorithm</t>
  </si>
  <si>
    <t xml:space="preserve">Step 1: Locate current Three Kingdoms alignment. Where is your awareness operating from most days?</t>
  </si>
  <si>
    <t xml:space="preserve">Personal Development Algorithm</t>
  </si>
  <si>
    <t xml:space="preserve">v5.1 L2775</t>
  </si>
  <si>
    <t xml:space="preserve">R-0210</t>
  </si>
  <si>
    <t xml:space="preserve">Step 2: Identify what would shift the alignment upward. What habit, practice, or change moves you from First Kingdom reactivity toward Second Kingdom intentionality, or from Second toward Third?</t>
  </si>
  <si>
    <t xml:space="preserve">v5.1 L2777</t>
  </si>
  <si>
    <t xml:space="preserve">R-0211</t>
  </si>
  <si>
    <t xml:space="preserve">Step 3: Establish a daily practice that anchors the higher Kingdom. Meditation, journaling, planning, contemplation, structured reflection.</t>
  </si>
  <si>
    <t xml:space="preserve">v5.1 L2779</t>
  </si>
  <si>
    <t xml:space="preserve">R-0212</t>
  </si>
  <si>
    <t xml:space="preserve">Step 4: Apply the Selfish-Selfless Calibration (Layer IV). Identify the convergence point that constitutes structural purpose.</t>
  </si>
  <si>
    <t xml:space="preserve">v5.1 L2781</t>
  </si>
  <si>
    <t xml:space="preserve">R-0213</t>
  </si>
  <si>
    <t xml:space="preserve">Step 5: Filter daily decisions through the convergence point. Compound toward it; do not compound away.</t>
  </si>
  <si>
    <t xml:space="preserve">v5.1 L2783</t>
  </si>
  <si>
    <t xml:space="preserve">R-0214</t>
  </si>
  <si>
    <t xml:space="preserve">Step 6: Apply the Variable Principle to your own self-knowledge. Hold open what you do not yet know about yourself rather than filling with assumption.</t>
  </si>
  <si>
    <t xml:space="preserve">v5.1 L2785</t>
  </si>
  <si>
    <t xml:space="preserve">R-0215</t>
  </si>
  <si>
    <t xml:space="preserve">Step 7: Document your patterns. Per Database: a pattern not documented is rediscovered repeatedly at full cost each time.</t>
  </si>
  <si>
    <t xml:space="preserve">v5.1 L2787</t>
  </si>
  <si>
    <t xml:space="preserve">R-0216</t>
  </si>
  <si>
    <t xml:space="preserve">Step 8: Per Repetition: each cycle of self-development begins from a higher baseline informed by all prior cycles.</t>
  </si>
  <si>
    <t xml:space="preserve">v5.1 L2789</t>
  </si>
  <si>
    <t xml:space="preserve">R-0217</t>
  </si>
  <si>
    <t xml:space="preserve">ALG:Relationships Algorithm</t>
  </si>
  <si>
    <t xml:space="preserve">Step 1: Identify which Kingdom each party operates from in this relationship. The relationship’s health is largely determined by Kingdom alignment between parties.</t>
  </si>
  <si>
    <t xml:space="preserve">Relationships Algorithm</t>
  </si>
  <si>
    <t xml:space="preserve">v5.1 L2795</t>
  </si>
  <si>
    <t xml:space="preserve">Human-reserved</t>
  </si>
  <si>
    <t xml:space="preserve">R-0218</t>
  </si>
  <si>
    <t xml:space="preserve">Step 2: Identify the gradient. Healthy relationships establish and channel gradients between parties (complementary capacities, mutual growth, shared meaning). Stale relationships have no active gradient.</t>
  </si>
  <si>
    <t xml:space="preserve">v5.1 L2797</t>
  </si>
  <si>
    <t xml:space="preserve">R-0219</t>
  </si>
  <si>
    <t xml:space="preserve">Step 3: Apply Vibration. Are the frequencies of communication aligned? Frequency mismatch produces dissipation regardless of mutual care.</t>
  </si>
  <si>
    <t xml:space="preserve">v5.1 L2799</t>
  </si>
  <si>
    <t xml:space="preserve">R-0220</t>
  </si>
  <si>
    <t xml:space="preserve">Step 4: Apply Polarity. Are differences treated as conflict or as complementary poles of one axis?</t>
  </si>
  <si>
    <t xml:space="preserve">v5.1 L2801</t>
  </si>
  <si>
    <t xml:space="preserve">R-0221</t>
  </si>
  <si>
    <t xml:space="preserve">Step 5: Apply Gender. Is creative work in the relationship integrating Masculine projection and Feminine reception, or has one polarity collapsed?</t>
  </si>
  <si>
    <t xml:space="preserve">v5.1 L2803</t>
  </si>
  <si>
    <t xml:space="preserve">R-0222</t>
  </si>
  <si>
    <t xml:space="preserve">Step 6: Locate the dynamic middle. Most relationship struggles are extreme Yang (too much demand, control, expression) or extreme Yin (too much accommodation, withdrawal, silence).</t>
  </si>
  <si>
    <t xml:space="preserve">v5.1 L2805</t>
  </si>
  <si>
    <t xml:space="preserve">R-0223</t>
  </si>
  <si>
    <t xml:space="preserve">Step 7: Establish observation at multiple levels. The relationship persists when observed regularly across cognitive (memory), behavioral (action), emotional (attunement), and meaning (shared narrative) levels.</t>
  </si>
  <si>
    <t xml:space="preserve">v5.1 L2807</t>
  </si>
  <si>
    <t xml:space="preserve">R-0224</t>
  </si>
  <si>
    <t xml:space="preserve">Step 8: Per the Capsule mechanism: every prior interaction is integrated into the current relationship. Honor what has been built. Repair what has been damaged.</t>
  </si>
  <si>
    <t xml:space="preserve">v5.1 L2809</t>
  </si>
  <si>
    <t xml:space="preserve">R-0225</t>
  </si>
  <si>
    <t xml:space="preserve">Step 9: Per Documentation: durable agreements should be explicit, not assumed.</t>
  </si>
  <si>
    <t xml:space="preserve">v5.1 L2811</t>
  </si>
  <si>
    <t xml:space="preserve">R-0226</t>
  </si>
  <si>
    <t xml:space="preserve">ALG:Health and Body Algorithm</t>
  </si>
  <si>
    <t xml:space="preserve">Step 1: Apply Three Kingdoms to the body. Third Kingdom (awareness, presence). Second Kingdom (nervous system, beliefs about body, habits). First Kingdom (physical structure, biochemistry, behavior).</t>
  </si>
  <si>
    <t xml:space="preserve">Health and Body Algorithm</t>
  </si>
  <si>
    <t xml:space="preserve">v5.1 L2817</t>
  </si>
  <si>
    <t xml:space="preserve">R-0227</t>
  </si>
  <si>
    <t xml:space="preserve">Step 2: Identify the dynamic middle of the autonomic nervous system. Sympathetic (Yang — activate, perform) and parasympathetic (Yin — rest, restore) must alternate. Permanent Yang is burnout. Permanent Yin is depression and atrophy.</t>
  </si>
  <si>
    <t xml:space="preserve">v5.1 L2819</t>
  </si>
  <si>
    <t xml:space="preserve">R-0228</t>
  </si>
  <si>
    <t xml:space="preserve">Step 3: Apply Rhythm. Honor circadian, seasonal, weekly, and daily oscillations. Fighting biological rhythm produces compounding cost.</t>
  </si>
  <si>
    <t xml:space="preserve">v5.1 L2821</t>
  </si>
  <si>
    <t xml:space="preserve">R-0229</t>
  </si>
  <si>
    <t xml:space="preserve">Step 4: Identify the gradient that energy comes from. Glucose, ATP, gradient renewal at cellular level. Disrupted sleep, poor nutrition, chronic stress collapse the gradient.</t>
  </si>
  <si>
    <t xml:space="preserve">v5.1 L2823</t>
  </si>
  <si>
    <t xml:space="preserve">R-0230</t>
  </si>
  <si>
    <t xml:space="preserve">Step 5: Apply the Hermetic audit. Mentalism: what beliefs about the body are operating? Cause and Effect: what causes are being set with current habits? Polarity: are body and mind treated as poles of one axis or as separate?</t>
  </si>
  <si>
    <t xml:space="preserve">v5.1 L2825</t>
  </si>
  <si>
    <t xml:space="preserve">R-0231</t>
  </si>
  <si>
    <t xml:space="preserve">Step 6: Establish observation. Track sleep, energy, mood, performance. What is unobserved drifts.</t>
  </si>
  <si>
    <t xml:space="preserve">v5.1 L2827</t>
  </si>
  <si>
    <t xml:space="preserve">R-0232</t>
  </si>
  <si>
    <t xml:space="preserve">Step 7: Apply Process Density. Build complexity gradually. New movement, new nutrition, new practice introduced via Fibonacci sequencing, not all at once.</t>
  </si>
  <si>
    <t xml:space="preserve">v5.1 L2829</t>
  </si>
  <si>
    <t xml:space="preserve">R-0233</t>
  </si>
  <si>
    <t xml:space="preserve">Step 8: Per the Slime Mold mechanism: prior physical adaptations integrate into current capacity. Honor the body’s accumulated learning.</t>
  </si>
  <si>
    <t xml:space="preserve">v5.1 L2831</t>
  </si>
  <si>
    <t xml:space="preserve">R-0234</t>
  </si>
  <si>
    <t xml:space="preserve">Step 9: Document patterns. The body sends signals; written tracking reveals patterns invisible in single moments.</t>
  </si>
  <si>
    <t xml:space="preserve">v5.1 L2833</t>
  </si>
  <si>
    <t xml:space="preserve">R-0235</t>
  </si>
  <si>
    <t xml:space="preserve">ALG:Financial Decisions Algorithm</t>
  </si>
  <si>
    <t xml:space="preserve">Step 1: Identify which Kingdom the decision originates from. Reactive (First), strategic (Second), or vision-driven (Third).</t>
  </si>
  <si>
    <t xml:space="preserve">v5.1 L2839</t>
  </si>
  <si>
    <t xml:space="preserve">Per capital decision; monthly review</t>
  </si>
  <si>
    <t xml:space="preserve">R-0236</t>
  </si>
  <si>
    <t xml:space="preserve">Step 2: Apply the Variable Principle ruthlessly. What is measurable? What are you assuming?</t>
  </si>
  <si>
    <t xml:space="preserve">v5.1 L2841</t>
  </si>
  <si>
    <t xml:space="preserve">R-0237</t>
  </si>
  <si>
    <t xml:space="preserve">Step 3: Identify the gradient the financial decision channels. Opportunity gradient, risk gradient, liquidity gradient, growth gradient.</t>
  </si>
  <si>
    <t xml:space="preserve">v5.1 L2843</t>
  </si>
  <si>
    <t xml:space="preserve">R-0238</t>
  </si>
  <si>
    <t xml:space="preserve">Step 4: Apply Process Density. Are you accumulating sufficient information density per dollar to make this decision well, or are you guessing?</t>
  </si>
  <si>
    <t xml:space="preserve">v5.1 L2845</t>
  </si>
  <si>
    <t xml:space="preserve">R-0239</t>
  </si>
  <si>
    <t xml:space="preserve">Step 5: Run the falsifiability test. Under what conditions would this decision be wrong? At what threshold would you reverse?</t>
  </si>
  <si>
    <t xml:space="preserve">v5.1 L2847</t>
  </si>
  <si>
    <t xml:space="preserve">R-0240</t>
  </si>
  <si>
    <t xml:space="preserve">Step 6: Locate the dynamic middle of risk. Conservative collapse fails to participate in growth. Aggressive collapse exposes to ruin.</t>
  </si>
  <si>
    <t xml:space="preserve">v5.1 L2849</t>
  </si>
  <si>
    <t xml:space="preserve">R-0241</t>
  </si>
  <si>
    <t xml:space="preserve">Step 7: Apply Polarity. Profit and loss are poles of one axis — capital deployment. Eliminate neither; manage degree.</t>
  </si>
  <si>
    <t xml:space="preserve">v5.1 L2851</t>
  </si>
  <si>
    <t xml:space="preserve">R-0242</t>
  </si>
  <si>
    <t xml:space="preserve">Step 8: Per Cause and Effect: every financial outcome traces to causes set earlier. Identify which causes set are still operating.</t>
  </si>
  <si>
    <t xml:space="preserve">v5.1 L2853</t>
  </si>
  <si>
    <t xml:space="preserve">R-0243</t>
  </si>
  <si>
    <t xml:space="preserve">Step 9: Document the decision rationale, the variables, and the falsifiability conditions.</t>
  </si>
  <si>
    <t xml:space="preserve">v5.1 L2855</t>
  </si>
  <si>
    <t xml:space="preserve">R-0244</t>
  </si>
  <si>
    <t xml:space="preserve">Step 10: Review monthly against outcomes. Integrate the gap per the Slime Mold mechanism.</t>
  </si>
  <si>
    <t xml:space="preserve">v5.1 L2857</t>
  </si>
  <si>
    <t xml:space="preserve">R-0245</t>
  </si>
  <si>
    <t xml:space="preserve">ALG:Scientific Inquiry Algorithm</t>
  </si>
  <si>
    <t xml:space="preserve">Step 1: State the question with maximum precision.</t>
  </si>
  <si>
    <t xml:space="preserve">Scientific Inquiry Algorithm</t>
  </si>
  <si>
    <t xml:space="preserve">v5.1 L2867</t>
  </si>
  <si>
    <t xml:space="preserve">Per Acquire-phase question</t>
  </si>
  <si>
    <t xml:space="preserve">R-0246</t>
  </si>
  <si>
    <t xml:space="preserve">Step 2: Identify what the answer would have to look like to count as an answer. What forms of response would qualify?</t>
  </si>
  <si>
    <t xml:space="preserve">v5.1 L2869</t>
  </si>
  <si>
    <t xml:space="preserve">R-0247</t>
  </si>
  <si>
    <t xml:space="preserve">Step 3: Identify the falsifiability condition. What observation would prove the leading hypothesis wrong?</t>
  </si>
  <si>
    <t xml:space="preserve">v5.1 L2871</t>
  </si>
  <si>
    <t xml:space="preserve">R-0248</t>
  </si>
  <si>
    <t xml:space="preserve">Step 4: Map the variables. Which are measurable now? Which are bounded? Which are held open?</t>
  </si>
  <si>
    <t xml:space="preserve">v5.1 L2873</t>
  </si>
  <si>
    <t xml:space="preserve">R-0249</t>
  </si>
  <si>
    <t xml:space="preserve">Step 5: Design the experiment to maximally narrow the held-open variables.</t>
  </si>
  <si>
    <t xml:space="preserve">v5.1 L2875</t>
  </si>
  <si>
    <t xml:space="preserve">R-0250</t>
  </si>
  <si>
    <t xml:space="preserve">Step 6: Run the experiment. Capture all data without filtering.</t>
  </si>
  <si>
    <t xml:space="preserve">v5.1 L2877</t>
  </si>
  <si>
    <t xml:space="preserve">R-0251</t>
  </si>
  <si>
    <t xml:space="preserve">Step 7: Apply the Variable Principle to results. Do not fill remaining variables with assumption.</t>
  </si>
  <si>
    <t xml:space="preserve">v5.1 L2879</t>
  </si>
  <si>
    <t xml:space="preserve">R-0252</t>
  </si>
  <si>
    <t xml:space="preserve">Step 8: Update the model. Per the Slime Mold mechanism: failed hypotheses contribute information to the integrated understanding.</t>
  </si>
  <si>
    <t xml:space="preserve">v5.1 L2881</t>
  </si>
  <si>
    <t xml:space="preserve">R-0253</t>
  </si>
  <si>
    <t xml:space="preserve">Step 9: Document the experiment, the variables, the data, and the variables now bounded or resolved.</t>
  </si>
  <si>
    <t xml:space="preserve">v5.1 L2883</t>
  </si>
  <si>
    <t xml:space="preserve">R-0254</t>
  </si>
  <si>
    <t xml:space="preserve">Step 10: Iterate at higher baseline. The next experiment loads with all prior experiments’ information.</t>
  </si>
  <si>
    <t xml:space="preserve">v5.1 L2885</t>
  </si>
  <si>
    <t xml:space="preserve">R-0255</t>
  </si>
  <si>
    <t xml:space="preserve">ALG:Learning Algorithm</t>
  </si>
  <si>
    <t xml:space="preserve">Step 1: Direct. State what you are trying to learn and why. Without intent, all gathering is noise.</t>
  </si>
  <si>
    <t xml:space="preserve">Learning Algorithm</t>
  </si>
  <si>
    <t xml:space="preserve">v5.1 L2891</t>
  </si>
  <si>
    <t xml:space="preserve">Per learning plan</t>
  </si>
  <si>
    <t xml:space="preserve">R-0256</t>
  </si>
  <si>
    <t xml:space="preserve">Step 2: Guide. Structure the learning intake: which sources, which order, which depth, which test of understanding.</t>
  </si>
  <si>
    <t xml:space="preserve">v5.1 L2893</t>
  </si>
  <si>
    <t xml:space="preserve">R-0257</t>
  </si>
  <si>
    <t xml:space="preserve">Step 3: Gather. Take in material without filtering. Hold every variable open. Resist premature judgment.</t>
  </si>
  <si>
    <t xml:space="preserve">v5.1 L2895</t>
  </si>
  <si>
    <t xml:space="preserve">R-0258</t>
  </si>
  <si>
    <t xml:space="preserve">Step 4: Organize. Map what you have gathered. Categorize. Identify dependencies. Locate gaps.</t>
  </si>
  <si>
    <t xml:space="preserve">v5.1 L2897</t>
  </si>
  <si>
    <t xml:space="preserve">R-0259</t>
  </si>
  <si>
    <t xml:space="preserve">Step 5: Apply Correspondence. Relate the new material to what you already know. New learning anchors via correspondence to prior structure.</t>
  </si>
  <si>
    <t xml:space="preserve">v5.1 L2899</t>
  </si>
  <si>
    <t xml:space="preserve">R-0260</t>
  </si>
  <si>
    <t xml:space="preserve">Step 6: Test understanding. Can you explain it to someone who does not know the field? If not, the learning is incomplete.</t>
  </si>
  <si>
    <t xml:space="preserve">v5.1 L2901</t>
  </si>
  <si>
    <t xml:space="preserve">R-0261</t>
  </si>
  <si>
    <t xml:space="preserve">Step 7: Apply via creation. Per Layer VI Step 5: knowledge that does not produce creation has not yet been integrated.</t>
  </si>
  <si>
    <t xml:space="preserve">v5.1 L2903</t>
  </si>
  <si>
    <t xml:space="preserve">R-0262</t>
  </si>
  <si>
    <t xml:space="preserve">Step 8: Document. Notes, diagrams, summaries, taught explanations. Per Database step.</t>
  </si>
  <si>
    <t xml:space="preserve">v5.1 L2905</t>
  </si>
  <si>
    <t xml:space="preserve">R-0263</t>
  </si>
  <si>
    <t xml:space="preserve">Step 9: Repetition. Return to the material at intervals. Each return is from a higher baseline. Per the Capsule: every prior interaction with the material is integrated into the current encounter.</t>
  </si>
  <si>
    <t xml:space="preserve">v5.1 L2907</t>
  </si>
  <si>
    <t xml:space="preserve">R-0264</t>
  </si>
  <si>
    <t xml:space="preserve">ALG:Problem-Solving Algorithm</t>
  </si>
  <si>
    <t xml:space="preserve">Step 1: Identify the problem precisely. If you cannot, you have not yet found it.</t>
  </si>
  <si>
    <t xml:space="preserve">v5.1 L2913</t>
  </si>
  <si>
    <t xml:space="preserve">Per obstacle</t>
  </si>
  <si>
    <t xml:space="preserve">R-0265</t>
  </si>
  <si>
    <t xml:space="preserve">Step 2: Locate the problem in the Three Kingdoms. Is it First Kingdom (matter/execution), Second Kingdom (organization/system), or Third Kingdom (vision/identity)?</t>
  </si>
  <si>
    <t xml:space="preserve">v5.1 L2915</t>
  </si>
  <si>
    <t xml:space="preserve">R-0266</t>
  </si>
  <si>
    <t xml:space="preserve">Step 3: Trace causes upward. Per Cause and Effect: every effect has causes. The visible problem is usually downstream of the actual problem.</t>
  </si>
  <si>
    <t xml:space="preserve">v5.1 L2917</t>
  </si>
  <si>
    <t xml:space="preserve">R-0267</t>
  </si>
  <si>
    <t xml:space="preserve">Step 4: Identify which Hermetic principle is being violated.</t>
  </si>
  <si>
    <t xml:space="preserve">v5.1 L2919</t>
  </si>
  <si>
    <t xml:space="preserve">R-0268</t>
  </si>
  <si>
    <t xml:space="preserve">Step 5: Identify the gradient. Is there a gradient that would dissolve the problem if established and channeled?</t>
  </si>
  <si>
    <t xml:space="preserve">v5.1 L2921</t>
  </si>
  <si>
    <t xml:space="preserve">R-0269</t>
  </si>
  <si>
    <t xml:space="preserve">Step 6: Identify the dynamic middle. Most problems present as binary; the middle solution usually exists.</t>
  </si>
  <si>
    <t xml:space="preserve">v5.1 L2923</t>
  </si>
  <si>
    <t xml:space="preserve">R-0270</t>
  </si>
  <si>
    <t xml:space="preserve">Step 7: Apply Slime Mold Integration. Has this problem been faced before in any domain? What information do prior paths provide?</t>
  </si>
  <si>
    <t xml:space="preserve">v5.1 L2925</t>
  </si>
  <si>
    <t xml:space="preserve">R-0271</t>
  </si>
  <si>
    <t xml:space="preserve">Step 8: Generate solution candidates. Test each against falsifiability: under what conditions would this solution fail?</t>
  </si>
  <si>
    <t xml:space="preserve">v5.1 L2927</t>
  </si>
  <si>
    <t xml:space="preserve">R-0272</t>
  </si>
  <si>
    <t xml:space="preserve">Step 9: Choose the solution that integrates the most prior path information while preserving most future flexibility.</t>
  </si>
  <si>
    <t xml:space="preserve">v5.1 L2929</t>
  </si>
  <si>
    <t xml:space="preserve">R-0273</t>
  </si>
  <si>
    <t xml:space="preserve">Step 10: Implement, observe, document, integrate.</t>
  </si>
  <si>
    <t xml:space="preserve">v5.1 L2931</t>
  </si>
  <si>
    <t xml:space="preserve">R-0274</t>
  </si>
  <si>
    <t xml:space="preserve">ALG:Critical Thinking Algorithm</t>
  </si>
  <si>
    <t xml:space="preserve">Step 1: State the claim being evaluated.</t>
  </si>
  <si>
    <t xml:space="preserve">v5.1 L2937</t>
  </si>
  <si>
    <t xml:space="preserve">Per relied-on claim</t>
  </si>
  <si>
    <t xml:space="preserve">R-0275</t>
  </si>
  <si>
    <t xml:space="preserve">Step 2: Apply the Variable Principle. What variables is the claim filling with assumption?</t>
  </si>
  <si>
    <t xml:space="preserve">v5.1 L2939</t>
  </si>
  <si>
    <t xml:space="preserve">R-0276</t>
  </si>
  <si>
    <t xml:space="preserve">Step 3: Apply falsifiability. What would prove the claim wrong? If nothing, the claim is not a claim.</t>
  </si>
  <si>
    <t xml:space="preserve">v5.1 L2941</t>
  </si>
  <si>
    <t xml:space="preserve">R-0277</t>
  </si>
  <si>
    <t xml:space="preserve">Step 4: Locate the source. Is the source operating from First Kingdom reactivity, Second Kingdom system, or Third Kingdom awareness?</t>
  </si>
  <si>
    <t xml:space="preserve">v5.1 L2943</t>
  </si>
  <si>
    <t xml:space="preserve">R-0278</t>
  </si>
  <si>
    <t xml:space="preserve">Step 5: Apply Correspondence. Does the claim hold at scales other than the one where it was made?</t>
  </si>
  <si>
    <t xml:space="preserve">v5.1 L2945</t>
  </si>
  <si>
    <t xml:space="preserve">R-0279</t>
  </si>
  <si>
    <t xml:space="preserve">Step 6: Apply Polarity. Is the claim treating something as binary that is actually a degree variation?</t>
  </si>
  <si>
    <t xml:space="preserve">v5.1 L2947</t>
  </si>
  <si>
    <t xml:space="preserve">R-0280</t>
  </si>
  <si>
    <t xml:space="preserve">Step 7: Identify what the claim would imply if true and if false. The implications often clarify which holds.</t>
  </si>
  <si>
    <t xml:space="preserve">v5.1 L2949</t>
  </si>
  <si>
    <t xml:space="preserve">R-0281</t>
  </si>
  <si>
    <t xml:space="preserve">Step 8: Status the claim. Resolved, bounded, held open, or refuted.</t>
  </si>
  <si>
    <t xml:space="preserve">v5.1 L2951</t>
  </si>
  <si>
    <t xml:space="preserve">R-0282</t>
  </si>
  <si>
    <t xml:space="preserve">Step 9: Document the assessment. Per Database step. The reasoning, not just the conclusion.</t>
  </si>
  <si>
    <t xml:space="preserve">v5.1 L2953</t>
  </si>
  <si>
    <t xml:space="preserve">R-0283</t>
  </si>
  <si>
    <t xml:space="preserve">ALG:Memory and Recall Algorithm</t>
  </si>
  <si>
    <t xml:space="preserve">Step 1: Identify what needs to persist in memory.</t>
  </si>
  <si>
    <t xml:space="preserve">Memory and Recall Algorithm</t>
  </si>
  <si>
    <t xml:space="preserve">v5.1 L2959</t>
  </si>
  <si>
    <t xml:space="preserve">Quarterly review</t>
  </si>
  <si>
    <t xml:space="preserve">R-0284</t>
  </si>
  <si>
    <t xml:space="preserve">Step 2: Establish multi-level observation. Cognitive (you remember), externalized (you wrote it down), associated (it is linked to other memories), embodied (you have practiced or applied it).</t>
  </si>
  <si>
    <t xml:space="preserve">v5.1 L2961</t>
  </si>
  <si>
    <t xml:space="preserve">R-0285</t>
  </si>
  <si>
    <t xml:space="preserve">Step 3: Per Vibration: encode at the frequency at which you will recall. State-dependent learning is real.</t>
  </si>
  <si>
    <t xml:space="preserve">v5.1 L2963</t>
  </si>
  <si>
    <t xml:space="preserve">R-0286</t>
  </si>
  <si>
    <t xml:space="preserve">Step 4: Per Process Density: dense interconnection produces durable memory. Connect the new material to multiple prior memories.</t>
  </si>
  <si>
    <t xml:space="preserve">v5.1 L2965</t>
  </si>
  <si>
    <t xml:space="preserve">R-0287</t>
  </si>
  <si>
    <t xml:space="preserve">Step 5: Per the Capsule: every prior recall is integrated into the next recall. Practice the recall, not just the encoding.</t>
  </si>
  <si>
    <t xml:space="preserve">v5.1 L2967</t>
  </si>
  <si>
    <t xml:space="preserve">R-0288</t>
  </si>
  <si>
    <t xml:space="preserve">Step 6: Per Repetition: each recall cycle begins from a higher baseline. Spaced repetition exploits this directly.</t>
  </si>
  <si>
    <t xml:space="preserve">v5.1 L2969</t>
  </si>
  <si>
    <t xml:space="preserve">R-0289</t>
  </si>
  <si>
    <t xml:space="preserve">Step 7: Document anything that might be needed beyond reliable recall horizon.</t>
  </si>
  <si>
    <t xml:space="preserve">v5.1 L2971</t>
  </si>
  <si>
    <t xml:space="preserve">R-0290</t>
  </si>
  <si>
    <t xml:space="preserve">ALG:Creative Work Algorithm</t>
  </si>
  <si>
    <t xml:space="preserve">Step 1: Identify what is to be created. Be specific.</t>
  </si>
  <si>
    <t xml:space="preserve">v5.1 L2981</t>
  </si>
  <si>
    <t xml:space="preserve">Per asset</t>
  </si>
  <si>
    <t xml:space="preserve">R-0291</t>
  </si>
  <si>
    <t xml:space="preserve">Step 2: Locate which Kingdom the creation will originate from. Reactive (First), structural (Second), or vision (Third).</t>
  </si>
  <si>
    <t xml:space="preserve">v5.1 L2983</t>
  </si>
  <si>
    <t xml:space="preserve">R-0292</t>
  </si>
  <si>
    <t xml:space="preserve">Step 3: Apply Gender. Identify the Masculine principle (the projecting intent, the directing vision) and the Feminine principle (the receiving medium, the manifestation substrate).</t>
  </si>
  <si>
    <t xml:space="preserve">v5.1 L2985</t>
  </si>
  <si>
    <t xml:space="preserve">R-0293</t>
  </si>
  <si>
    <t xml:space="preserve">Step 4: Identify what the work serves. Per the Selfish-Selfless Calibration: where does the most-selfish creative desire converge with the most-selfless?</t>
  </si>
  <si>
    <t xml:space="preserve">v5.1 L2987</t>
  </si>
  <si>
    <t xml:space="preserve">R-0294</t>
  </si>
  <si>
    <t xml:space="preserve">Step 5: Establish the gradient. Tension between the current state of the medium and the intended creation.</t>
  </si>
  <si>
    <t xml:space="preserve">v5.1 L2989</t>
  </si>
  <si>
    <t xml:space="preserve">R-0295</t>
  </si>
  <si>
    <t xml:space="preserve">Step 6: Build via Fibonacci sequencing. Foundation, foundation, first expression, refinement, system build.</t>
  </si>
  <si>
    <t xml:space="preserve">v5.1 L2991</t>
  </si>
  <si>
    <t xml:space="preserve">R-0296</t>
  </si>
  <si>
    <t xml:space="preserve">Step 7: Per Vibration: tune the work to the frequency of the audience that will receive it.</t>
  </si>
  <si>
    <t xml:space="preserve">v5.1 L2993</t>
  </si>
  <si>
    <t xml:space="preserve">R-0297</t>
  </si>
  <si>
    <t xml:space="preserve">Step 8: Per Process Density: work crosses the threshold of meaningful when sufficient elements are integrated. Below threshold: it does not move anyone. At threshold: it transmits. Above threshold: it overwhelms and dissipates.</t>
  </si>
  <si>
    <t xml:space="preserve">v5.1 L2995</t>
  </si>
  <si>
    <t xml:space="preserve">R-0298</t>
  </si>
  <si>
    <t xml:space="preserve">Step 9: Test against falsifiability of intent. Did the work actually produce its intended effect? If not, what gap?</t>
  </si>
  <si>
    <t xml:space="preserve">v5.1 L2997</t>
  </si>
  <si>
    <t xml:space="preserve">R-0299</t>
  </si>
  <si>
    <t xml:space="preserve">Step 10: Document the process for repetition. Per Database.</t>
  </si>
  <si>
    <t xml:space="preserve">v5.1 L2999</t>
  </si>
  <si>
    <t xml:space="preserve">R-0300</t>
  </si>
  <si>
    <t xml:space="preserve">Step 11: Iterate at higher baseline. Each work integrates the information of every prior work.</t>
  </si>
  <si>
    <t xml:space="preserve">v5.1 L3001</t>
  </si>
  <si>
    <t xml:space="preserve">R-0301</t>
  </si>
  <si>
    <t xml:space="preserve">ALG:Writing Algorithm</t>
  </si>
  <si>
    <t xml:space="preserve">Step 1: Identify the reader and what they need to leave with.</t>
  </si>
  <si>
    <t xml:space="preserve">Writing Algorithm</t>
  </si>
  <si>
    <t xml:space="preserve">v5.1 L3007</t>
  </si>
  <si>
    <t xml:space="preserve">Per writing task</t>
  </si>
  <si>
    <t xml:space="preserve">R-0302</t>
  </si>
  <si>
    <t xml:space="preserve">Step 2: Identify the gradient: where the reader starts and where they should finish.</t>
  </si>
  <si>
    <t xml:space="preserve">v5.1 L3009</t>
  </si>
  <si>
    <t xml:space="preserve">R-0303</t>
  </si>
  <si>
    <t xml:space="preserve">Step 3: Build the structural blueprint before drafting prose.</t>
  </si>
  <si>
    <t xml:space="preserve">v5.1 L3011</t>
  </si>
  <si>
    <t xml:space="preserve">R-0304</t>
  </si>
  <si>
    <t xml:space="preserve">Step 4: Per Vibration: tune the language to the reader’s frequency.</t>
  </si>
  <si>
    <t xml:space="preserve">v5.1 L3013</t>
  </si>
  <si>
    <t xml:space="preserve">R-0305</t>
  </si>
  <si>
    <t xml:space="preserve">Step 5: Per Gender: project clear intent (Masculine), receive the reader’s likely state (Feminine), produce text that bridges.</t>
  </si>
  <si>
    <t xml:space="preserve">v5.1 L3015</t>
  </si>
  <si>
    <t xml:space="preserve">R-0306</t>
  </si>
  <si>
    <t xml:space="preserve">Step 6: Draft. Per the Variable Principle: hold every word open. Choose the precise word, not the available word.</t>
  </si>
  <si>
    <t xml:space="preserve">v5.1 L3017</t>
  </si>
  <si>
    <t xml:space="preserve">R-0307</t>
  </si>
  <si>
    <t xml:space="preserve">Step 7: Edit by removing what does not channel the gradient. Most writing fails through addition, not subtraction.</t>
  </si>
  <si>
    <t xml:space="preserve">v5.1 L3019</t>
  </si>
  <si>
    <t xml:space="preserve">R-0308</t>
  </si>
  <si>
    <t xml:space="preserve">Step 8: Test against falsifiability of intent. Read aloud, watch for where the reader would lose the gradient. Fix those points.</t>
  </si>
  <si>
    <t xml:space="preserve">v5.1 L3021</t>
  </si>
  <si>
    <t xml:space="preserve">R-0309</t>
  </si>
  <si>
    <t xml:space="preserve">Step 9: Document the structural pattern that worked. Per Database.</t>
  </si>
  <si>
    <t xml:space="preserve">v5.1 L3023</t>
  </si>
  <si>
    <t xml:space="preserve">R-0310</t>
  </si>
  <si>
    <t xml:space="preserve">ALG:Communication and Speaking Algorithm</t>
  </si>
  <si>
    <t xml:space="preserve">Step 1: Identify the audience’s current frequency before opening. Match before shifting.</t>
  </si>
  <si>
    <t xml:space="preserve">Communication and Speaking Algorithm</t>
  </si>
  <si>
    <t xml:space="preserve">v5.1 L3029</t>
  </si>
  <si>
    <t xml:space="preserve">Per communication</t>
  </si>
  <si>
    <t xml:space="preserve">R-0311</t>
  </si>
  <si>
    <t xml:space="preserve">Step 2: State the desired state at the end of the communication.</t>
  </si>
  <si>
    <t xml:space="preserve">v5.1 L3031</t>
  </si>
  <si>
    <t xml:space="preserve">R-0312</t>
  </si>
  <si>
    <t xml:space="preserve">Step 3: Identify the gradient between current and desired audience state.</t>
  </si>
  <si>
    <t xml:space="preserve">v5.1 L3033</t>
  </si>
  <si>
    <t xml:space="preserve">R-0313</t>
  </si>
  <si>
    <t xml:space="preserve">Step 4: Per Gender: project clear intent without overwhelming reception capacity.</t>
  </si>
  <si>
    <t xml:space="preserve">v5.1 L3035</t>
  </si>
  <si>
    <t xml:space="preserve">R-0314</t>
  </si>
  <si>
    <t xml:space="preserve">Step 5: Per Process Density: enough density to carry meaning, not so much that the receiver overflows.</t>
  </si>
  <si>
    <t xml:space="preserve">v5.1 L3037</t>
  </si>
  <si>
    <t xml:space="preserve">R-0315</t>
  </si>
  <si>
    <t xml:space="preserve">Step 6: Per Polarity: handle objections as same-axis variations of agreement, not opposites.</t>
  </si>
  <si>
    <t xml:space="preserve">v5.1 L3039</t>
  </si>
  <si>
    <t xml:space="preserve">R-0316</t>
  </si>
  <si>
    <t xml:space="preserve">Step 7: Per Rhythm: honor the natural cadence of the conversation. Fighting rhythm produces friction.</t>
  </si>
  <si>
    <t xml:space="preserve">v5.1 L3041</t>
  </si>
  <si>
    <t xml:space="preserve">R-0317</t>
  </si>
  <si>
    <t xml:space="preserve">Step 8: Confirm reception by behavior, not just acknowledgment. Did the audience actually transition state?</t>
  </si>
  <si>
    <t xml:space="preserve">v5.1 L3043</t>
  </si>
  <si>
    <t xml:space="preserve">R-0318</t>
  </si>
  <si>
    <t xml:space="preserve">Step 9: Document the structural patterns that worked. Per Database.</t>
  </si>
  <si>
    <t xml:space="preserve">v5.1 L3045</t>
  </si>
  <si>
    <t xml:space="preserve">R-0319</t>
  </si>
  <si>
    <t xml:space="preserve">ALG:Teaching and Mentoring Algorithm</t>
  </si>
  <si>
    <t xml:space="preserve">Step 1: Identify what the learner needs to know and be able to do.</t>
  </si>
  <si>
    <t xml:space="preserve">Teaching and Mentoring Algorithm</t>
  </si>
  <si>
    <t xml:space="preserve">v5.1 L3051</t>
  </si>
  <si>
    <t xml:space="preserve">Per course / mentoring cycle</t>
  </si>
  <si>
    <t xml:space="preserve">R-0320</t>
  </si>
  <si>
    <t xml:space="preserve">Step 2: Locate the learner’s current Kingdom of operation.</t>
  </si>
  <si>
    <t xml:space="preserve">v5.1 L3053</t>
  </si>
  <si>
    <t xml:space="preserve">R-0321</t>
  </si>
  <si>
    <t xml:space="preserve">Step 3: Apply Vibration. Match frequency before introducing new material.</t>
  </si>
  <si>
    <t xml:space="preserve">v5.1 L3055</t>
  </si>
  <si>
    <t xml:space="preserve">R-0322</t>
  </si>
  <si>
    <t xml:space="preserve">Step 4: Per Gender: project clearly while leaving space for reception.</t>
  </si>
  <si>
    <t xml:space="preserve">v5.1 L3057</t>
  </si>
  <si>
    <t xml:space="preserve">R-0323</t>
  </si>
  <si>
    <t xml:space="preserve">Step 5: Apply Correspondence. Anchor new learning to the learner’s existing knowledge structures.</t>
  </si>
  <si>
    <t xml:space="preserve">v5.1 L3059</t>
  </si>
  <si>
    <t xml:space="preserve">R-0324</t>
  </si>
  <si>
    <t xml:space="preserve">Step 6: Per Process Density: complexity introduced via Fibonacci sequencing, not all at once.</t>
  </si>
  <si>
    <t xml:space="preserve">v5.1 L3061</t>
  </si>
  <si>
    <t xml:space="preserve">R-0325</t>
  </si>
  <si>
    <t xml:space="preserve">Step 7: Per Cause and Effect: have the learner set causes and observe effects. Direct experience encodes more durably than instruction.</t>
  </si>
  <si>
    <t xml:space="preserve">v5.1 L3063</t>
  </si>
  <si>
    <t xml:space="preserve">R-0326</t>
  </si>
  <si>
    <t xml:space="preserve">Step 8: Per the Capsule mechanism: every prior failure of the learner is information that informs the current learning. Use it.</t>
  </si>
  <si>
    <t xml:space="preserve">v5.1 L3065</t>
  </si>
  <si>
    <t xml:space="preserve">R-0327</t>
  </si>
  <si>
    <t xml:space="preserve">Step 9: Per Documentation: have the learner produce artifacts of understanding. Their own writing is the test of integration.</t>
  </si>
  <si>
    <t xml:space="preserve">v5.1 L3067</t>
  </si>
  <si>
    <t xml:space="preserve">R-0328</t>
  </si>
  <si>
    <t xml:space="preserve">Step 10: Per Repetition: each cycle of teaching is from a higher baseline.</t>
  </si>
  <si>
    <t xml:space="preserve">v5.1 L3069</t>
  </si>
  <si>
    <t xml:space="preserve">R-0329</t>
  </si>
  <si>
    <t xml:space="preserve">ALG:Domain 1 — Spiritual Process Algorithm</t>
  </si>
  <si>
    <t xml:space="preserve">Step 1: Detect the suffering, incompleteness, or intuition that something foundational is being missed.</t>
  </si>
  <si>
    <t xml:space="preserve">Domain 1 — Spiritual Process Algorithm</t>
  </si>
  <si>
    <t xml:space="preserve">v5.1 L3079</t>
  </si>
  <si>
    <t xml:space="preserve">R-0330</t>
  </si>
  <si>
    <t xml:space="preserve">Step 2: Locate the contrast that produced the recognition. Per Layer I.C Domain 1: separation is the precondition for recognition of the Third Kingdom.</t>
  </si>
  <si>
    <t xml:space="preserve">v5.1 L3081</t>
  </si>
  <si>
    <t xml:space="preserve">R-0331</t>
  </si>
  <si>
    <t xml:space="preserve">Step 3: Establish a deliberate practice. Meditation, prayer, contemplation, service, direct inquiry.</t>
  </si>
  <si>
    <t xml:space="preserve">v5.1 L3083</t>
  </si>
  <si>
    <t xml:space="preserve">R-0332</t>
  </si>
  <si>
    <t xml:space="preserve">Step 4: Apply the practice consistently. Per Process Density: insight emerges at threshold density of practice, not from a single session.</t>
  </si>
  <si>
    <t xml:space="preserve">v5.1 L3085</t>
  </si>
  <si>
    <t xml:space="preserve">R-0333</t>
  </si>
  <si>
    <t xml:space="preserve">Step 5: Observe the integration without grasping. Per Layer I.D: the dynamic middle of spiritual work is engagement without attachment.</t>
  </si>
  <si>
    <t xml:space="preserve">v5.1 L3087</t>
  </si>
  <si>
    <t xml:space="preserve">R-0334</t>
  </si>
  <si>
    <t xml:space="preserve">Step 6: Document insights. Per Propagation Mode 3: spiritual experience that is not articulated returns repeatedly at full cost.</t>
  </si>
  <si>
    <t xml:space="preserve">v5.1 L3089</t>
  </si>
  <si>
    <t xml:space="preserve">R-0335</t>
  </si>
  <si>
    <t xml:space="preserve">Step 7: Per Repetition: each cycle restarts at a higher baseline. Per Fibonacci: each cycle is informed by the two prior.</t>
  </si>
  <si>
    <t xml:space="preserve">v5.1 L3091</t>
  </si>
  <si>
    <t xml:space="preserve">R-0336</t>
  </si>
  <si>
    <t xml:space="preserve">Step 8: Per Vibration: at higher integration, share with frequency-matched receivers. Forced sharing dissipates.</t>
  </si>
  <si>
    <t xml:space="preserve">v5.1 L3093</t>
  </si>
  <si>
    <t xml:space="preserve">R-0337</t>
  </si>
  <si>
    <t xml:space="preserve">ALG:Domain 2 — Religious Process Algorithm</t>
  </si>
  <si>
    <t xml:space="preserve">Step 1: Identify the founding signal. What core revelation, principle, or recognition is the tradition built around?</t>
  </si>
  <si>
    <t xml:space="preserve">Domain 2 — Religious Process Algorithm</t>
  </si>
  <si>
    <t xml:space="preserve">v5.1 L3099</t>
  </si>
  <si>
    <t xml:space="preserve">R-0338</t>
  </si>
  <si>
    <t xml:space="preserve">Step 2: Identify the doctrine that codifies the signal. Per Vibration: codification is necessary but always degrades the signal somewhat.</t>
  </si>
  <si>
    <t xml:space="preserve">v5.1 L3101</t>
  </si>
  <si>
    <t xml:space="preserve">R-0339</t>
  </si>
  <si>
    <t xml:space="preserve">Step 3: Identify the institutional structures that propagate the codified doctrine.</t>
  </si>
  <si>
    <t xml:space="preserve">v5.1 L3103</t>
  </si>
  <si>
    <t xml:space="preserve">R-0340</t>
  </si>
  <si>
    <t xml:space="preserve">Step 4: Apply Falsifiability test. What in the tradition is empirically testable? What is structurally claimed? What is held as variable?</t>
  </si>
  <si>
    <t xml:space="preserve">v5.1 L3105</t>
  </si>
  <si>
    <t xml:space="preserve">R-0341</t>
  </si>
  <si>
    <t xml:space="preserve">Step 5: Apply Correspondence test. Does the tradition’s structure match the structures of independently developed traditions? Convergence is evidence.</t>
  </si>
  <si>
    <t xml:space="preserve">v5.1 L3107</t>
  </si>
  <si>
    <t xml:space="preserve">R-0342</t>
  </si>
  <si>
    <t xml:space="preserve">Step 6: Engage the tradition at the appropriate Kingdom. First Kingdom: practices and rituals. Second Kingdom: doctrine and theology. Third Kingdom: contemplative depth.</t>
  </si>
  <si>
    <t xml:space="preserve">v5.1 L3109</t>
  </si>
  <si>
    <t xml:space="preserve">R-0343</t>
  </si>
  <si>
    <t xml:space="preserve">Step 7: Document the structural learning. Per Database step.</t>
  </si>
  <si>
    <t xml:space="preserve">v5.1 L3111</t>
  </si>
  <si>
    <t xml:space="preserve">R-0344</t>
  </si>
  <si>
    <t xml:space="preserve">Step 8: Apply across traditions. Per Mentalism: convergence across traditions indicates one underlying structure.</t>
  </si>
  <si>
    <t xml:space="preserve">v5.1 L3113</t>
  </si>
  <si>
    <t xml:space="preserve">R-0345</t>
  </si>
  <si>
    <t xml:space="preserve">ALG:Domain 3 — Psychological Process Algorithm</t>
  </si>
  <si>
    <t xml:space="preserve">Step 1: Identify the stimulus or pattern producing dysfunction.</t>
  </si>
  <si>
    <t xml:space="preserve">Domain 3 — Psychological Process Algorithm</t>
  </si>
  <si>
    <t xml:space="preserve">v5.1 L3119</t>
  </si>
  <si>
    <t xml:space="preserve">R-0346</t>
  </si>
  <si>
    <t xml:space="preserve">Step 2: Trace the belief filter. Per Layer I.C Domain 3: every dysfunction has a belief filter producing self-confirming evidence.</t>
  </si>
  <si>
    <t xml:space="preserve">v5.1 L3121</t>
  </si>
  <si>
    <t xml:space="preserve">R-0347</t>
  </si>
  <si>
    <t xml:space="preserve">Step 3: Identify whether the dysfunction is current arousal (First Kingdom reactivity), belief structure (Second Kingdom schema), or identity (Third Kingdom self-concept).</t>
  </si>
  <si>
    <t xml:space="preserve">v5.1 L3123</t>
  </si>
  <si>
    <t xml:space="preserve">R-0348</t>
  </si>
  <si>
    <t xml:space="preserve">Step 4: Apply the appropriate intervention to the appropriate Kingdom level. Body work for arousal. Cognitive work for beliefs. Identity work for self-concept.</t>
  </si>
  <si>
    <t xml:space="preserve">v5.1 L3125</t>
  </si>
  <si>
    <t xml:space="preserve">R-0349</t>
  </si>
  <si>
    <t xml:space="preserve">Step 5: Locate the dynamic middle of arousal — the window of tolerance. Expand it through gradual exposure.</t>
  </si>
  <si>
    <t xml:space="preserve">v5.1 L3127</t>
  </si>
  <si>
    <t xml:space="preserve">R-0350</t>
  </si>
  <si>
    <t xml:space="preserve">Step 6: Per Trauma as Incomplete Cycle: identify which processing cycle did not complete. Complete it now with current resources.</t>
  </si>
  <si>
    <t xml:space="preserve">v5.1 L3129</t>
  </si>
  <si>
    <t xml:space="preserve">R-0351</t>
  </si>
  <si>
    <t xml:space="preserve">Step 7: Per Polarity: integrate rather than eliminate the unwanted state. Hate transmuted to love along the same axis.</t>
  </si>
  <si>
    <t xml:space="preserve">v5.1 L3131</t>
  </si>
  <si>
    <t xml:space="preserve">R-0352</t>
  </si>
  <si>
    <t xml:space="preserve">Step 8: Document patterns. Per Database. Patterns made visible become navigable.</t>
  </si>
  <si>
    <t xml:space="preserve">v5.1 L3133</t>
  </si>
  <si>
    <t xml:space="preserve">R-0353</t>
  </si>
  <si>
    <t xml:space="preserve">Step 9: Per Repetition: each cycle integrates prior cycles. Healing is compound.</t>
  </si>
  <si>
    <t xml:space="preserve">v5.1 L3135</t>
  </si>
  <si>
    <t xml:space="preserve">R-0354</t>
  </si>
  <si>
    <t xml:space="preserve">ALG:Domain 4 — Matrix / Information Process Algorithm</t>
  </si>
  <si>
    <t xml:space="preserve">Step 1: Identify which kind of matrix process you are operating within: simulation/computational, social/conditioning, or information theoretic.</t>
  </si>
  <si>
    <t xml:space="preserve">Domain 4 — Matrix / Information Process Algorithm</t>
  </si>
  <si>
    <t xml:space="preserve">v5.1 L3141</t>
  </si>
  <si>
    <t xml:space="preserve">Per input surge</t>
  </si>
  <si>
    <t xml:space="preserve">R-0355</t>
  </si>
  <si>
    <t xml:space="preserve">Step 2: For computational: identify the substrate, the rules, and the rendered output.</t>
  </si>
  <si>
    <t xml:space="preserve">v5.1 L3143</t>
  </si>
  <si>
    <t xml:space="preserve">R-0356</t>
  </si>
  <si>
    <t xml:space="preserve">Step 3: For social conditioning: identify which Second Kingdom narratives are being presented as First Kingdom reality.</t>
  </si>
  <si>
    <t xml:space="preserve">v5.1 L3145</t>
  </si>
  <si>
    <t xml:space="preserve">R-0357</t>
  </si>
  <si>
    <t xml:space="preserve">Step 4: Apply the Variable Principle. What in the conditioning has been filled with assumption rather than measured?</t>
  </si>
  <si>
    <t xml:space="preserve">v5.1 L3147</t>
  </si>
  <si>
    <t xml:space="preserve">R-0358</t>
  </si>
  <si>
    <t xml:space="preserve">Step 5: The red-pill moment is the recognition of an assumption-as-variable. Hold it open, do not refill with the opposite assumption.</t>
  </si>
  <si>
    <t xml:space="preserve">v5.1 L3149</t>
  </si>
  <si>
    <t xml:space="preserve">R-0359</t>
  </si>
  <si>
    <t xml:space="preserve">Step 6: For information theoretic: quantify the entropy. Per Shannon: information is resolved variability.</t>
  </si>
  <si>
    <t xml:space="preserve">v5.1 L3151</t>
  </si>
  <si>
    <t xml:space="preserve">R-0360</t>
  </si>
  <si>
    <t xml:space="preserve">Step 7: Direct attention deliberately. Per Multi-Level Observation: what is observed persists and shapes further input processing.</t>
  </si>
  <si>
    <t xml:space="preserve">v5.1 L3153</t>
  </si>
  <si>
    <t xml:space="preserve">R-0361</t>
  </si>
  <si>
    <t xml:space="preserve">Step 8: Document the structural learning. Per Database step.</t>
  </si>
  <si>
    <t xml:space="preserve">v5.1 L3155</t>
  </si>
  <si>
    <t xml:space="preserve">R-0362</t>
  </si>
  <si>
    <t xml:space="preserve">ALG:Domain 5 — Mathematical / Computational Process Algorithm</t>
  </si>
  <si>
    <t xml:space="preserve">Step 1: State the axioms or premises with maximum clarity.</t>
  </si>
  <si>
    <t xml:space="preserve">Domain 5 — Mathematical / Computational Process Algorithm</t>
  </si>
  <si>
    <t xml:space="preserve">v5.1 L3161</t>
  </si>
  <si>
    <t xml:space="preserve">Per analysis</t>
  </si>
  <si>
    <t xml:space="preserve">R-0363</t>
  </si>
  <si>
    <t xml:space="preserve">Step 2: Apply the rules of inference rigorously. No assumed steps.</t>
  </si>
  <si>
    <t xml:space="preserve">v5.1 L3163</t>
  </si>
  <si>
    <t xml:space="preserve">R-0364</t>
  </si>
  <si>
    <t xml:space="preserve">Step 3: Per Recursion: a function that calls itself produces compounding behavior. Use deliberately.</t>
  </si>
  <si>
    <t xml:space="preserve">v5.1 L3165</t>
  </si>
  <si>
    <t xml:space="preserve">R-0365</t>
  </si>
  <si>
    <t xml:space="preserve">Step 4: Per Emergence: simple rules at sufficient density produce complex behavior. Conway’s Game of Life as the canonical example.</t>
  </si>
  <si>
    <t xml:space="preserve">v5.1 L3167</t>
  </si>
  <si>
    <t xml:space="preserve">R-0366</t>
  </si>
  <si>
    <t xml:space="preserve">Step 5: Per Gödel: any sufficiently complex system contains true statements unprovable within itself. Acknowledge this in any framework you build.</t>
  </si>
  <si>
    <t xml:space="preserve">v5.1 L3169</t>
  </si>
  <si>
    <t xml:space="preserve">R-0367</t>
  </si>
  <si>
    <t xml:space="preserve">Step 6: Apply Falsifiability. A proof that cannot be checked is a claim, not a proof.</t>
  </si>
  <si>
    <t xml:space="preserve">v5.1 L3171</t>
  </si>
  <si>
    <t xml:space="preserve">R-0368</t>
  </si>
  <si>
    <t xml:space="preserve">Step 7: Per the Variable Principle: name what you are assuming. Mathematics is unforgiving of unnamed assumptions.</t>
  </si>
  <si>
    <t xml:space="preserve">v5.1 L3173</t>
  </si>
  <si>
    <t xml:space="preserve">R-0369</t>
  </si>
  <si>
    <t xml:space="preserve">Step 8: Document the derivation. Per Database step. Show the work.</t>
  </si>
  <si>
    <t xml:space="preserve">v5.1 L3175</t>
  </si>
  <si>
    <t xml:space="preserve">R-0370</t>
  </si>
  <si>
    <t xml:space="preserve">ALG:Domain 6 — Linguistic / Communication Process Algorithm</t>
  </si>
  <si>
    <t xml:space="preserve">Step 1: Identify the intended meaning (Third Kingdom) before encoding.</t>
  </si>
  <si>
    <t xml:space="preserve">Domain 6 — Linguistic / Communication Process Algorithm</t>
  </si>
  <si>
    <t xml:space="preserve">v5.1 L3181</t>
  </si>
  <si>
    <t xml:space="preserve">R-0371</t>
  </si>
  <si>
    <t xml:space="preserve">Step 2: Choose the encoding (Second Kingdom — language, structure, format) appropriate to the receiver.</t>
  </si>
  <si>
    <t xml:space="preserve">v5.1 L3183</t>
  </si>
  <si>
    <t xml:space="preserve">R-0372</t>
  </si>
  <si>
    <t xml:space="preserve">Step 3: Transmit through the physical medium (First Kingdom — sound, text, signal).</t>
  </si>
  <si>
    <t xml:space="preserve">v5.1 L3185</t>
  </si>
  <si>
    <t xml:space="preserve">R-0373</t>
  </si>
  <si>
    <t xml:space="preserve">Step 4: Confirm decoding. The receiver must decode through their own Second Kingdom filters into their own Third Kingdom understanding.</t>
  </si>
  <si>
    <t xml:space="preserve">v5.1 L3187</t>
  </si>
  <si>
    <t xml:space="preserve">R-0374</t>
  </si>
  <si>
    <t xml:space="preserve">Step 5: Test for misalignment. Per the Variable Principle: every word is a variable. No two parties share identical internal definitions.</t>
  </si>
  <si>
    <t xml:space="preserve">v5.1 L3189</t>
  </si>
  <si>
    <t xml:space="preserve">R-0375</t>
  </si>
  <si>
    <t xml:space="preserve">Step 6: Apply feedback loop. Have the receiver restate the meaning. Misalignments emerge here.</t>
  </si>
  <si>
    <t xml:space="preserve">v5.1 L3191</t>
  </si>
  <si>
    <t xml:space="preserve">R-0376</t>
  </si>
  <si>
    <t xml:space="preserve">Step 7: Per Vibration: frequency match precedes content transmission. Force without rapport produces resistance.</t>
  </si>
  <si>
    <t xml:space="preserve">v5.1 L3193</t>
  </si>
  <si>
    <t xml:space="preserve">R-0377</t>
  </si>
  <si>
    <t xml:space="preserve">Step 8: Document the canonical phrasings. Per Database step. Successful encodings reused are durable.</t>
  </si>
  <si>
    <t xml:space="preserve">v5.1 L3195</t>
  </si>
  <si>
    <t xml:space="preserve">R-0378</t>
  </si>
  <si>
    <t xml:space="preserve">ALG:Domain 7 — Economic / Market Process Algorithm</t>
  </si>
  <si>
    <t xml:space="preserve">Step 1: Identify the supply/demand signal. What mismatch exists between what is and what is desired?</t>
  </si>
  <si>
    <t xml:space="preserve">Domain 7 — Economic / Market Process Algorithm</t>
  </si>
  <si>
    <t xml:space="preserve">v5.1 L3201</t>
  </si>
  <si>
    <t xml:space="preserve">Quarterly</t>
  </si>
  <si>
    <t xml:space="preserve">R-0379</t>
  </si>
  <si>
    <t xml:space="preserve">Step 2: Locate the price mechanism. Where do the parties signal value?</t>
  </si>
  <si>
    <t xml:space="preserve">v5.1 L3203</t>
  </si>
  <si>
    <t xml:space="preserve">R-0380</t>
  </si>
  <si>
    <t xml:space="preserve">Step 3: Identify the gradient. Every market exchange channels a value gradient between parties.</t>
  </si>
  <si>
    <t xml:space="preserve">v5.1 L3205</t>
  </si>
  <si>
    <t xml:space="preserve">R-0381</t>
  </si>
  <si>
    <t xml:space="preserve">Step 4: Apply the Variable Principle ruthlessly to all instruments. Second Kingdom financial instruments detached from First Kingdom reality become 2008-class failures.</t>
  </si>
  <si>
    <t xml:space="preserve">v5.1 L3207</t>
  </si>
  <si>
    <t xml:space="preserve">R-0382</t>
  </si>
  <si>
    <t xml:space="preserve">Step 5: Apply Rhythm. Markets oscillate. The current cycle phase determines correct strategy.</t>
  </si>
  <si>
    <t xml:space="preserve">v5.1 L3209</t>
  </si>
  <si>
    <t xml:space="preserve">R-0383</t>
  </si>
  <si>
    <t xml:space="preserve">Step 6: Per Polarity: inflation/deflation, boom/bust are degree variations of one axis.</t>
  </si>
  <si>
    <t xml:space="preserve">v5.1 L3211</t>
  </si>
  <si>
    <t xml:space="preserve">R-0384</t>
  </si>
  <si>
    <t xml:space="preserve">Step 7: Locate the dynamic middle. Hyper-acquisition burns trust; hyper-caution misses participation.</t>
  </si>
  <si>
    <t xml:space="preserve">v5.1 L3213</t>
  </si>
  <si>
    <t xml:space="preserve">R-0385</t>
  </si>
  <si>
    <t xml:space="preserve">Step 8: Per Falsifiability: state the conditions under which the strategy would be wrong. Hold them as live triggers.</t>
  </si>
  <si>
    <t xml:space="preserve">v5.1 L3215</t>
  </si>
  <si>
    <t xml:space="preserve">R-0386</t>
  </si>
  <si>
    <t xml:space="preserve">Step 9: Document. Per Database step.</t>
  </si>
  <si>
    <t xml:space="preserve">v5.1 L3217</t>
  </si>
  <si>
    <t xml:space="preserve">R-0387</t>
  </si>
  <si>
    <t xml:space="preserve">ALG:Domain 8 — Chemical / Physical Process Algorithm</t>
  </si>
  <si>
    <t xml:space="preserve">Step 1: Identify the reactants and conditions.</t>
  </si>
  <si>
    <t xml:space="preserve">Domain 8 — Chemical / Physical Process Algorithm</t>
  </si>
  <si>
    <t xml:space="preserve">v5.1 L3223</t>
  </si>
  <si>
    <t xml:space="preserve">Per mapping</t>
  </si>
  <si>
    <t xml:space="preserve">R-0388</t>
  </si>
  <si>
    <t xml:space="preserve">Step 2: Locate the activation energy threshold.</t>
  </si>
  <si>
    <t xml:space="preserve">v5.1 L3225</t>
  </si>
  <si>
    <t xml:space="preserve">R-0389</t>
  </si>
  <si>
    <t xml:space="preserve">Step 3: Identify whether the system is at, above, or below equilibrium.</t>
  </si>
  <si>
    <t xml:space="preserve">v5.1 L3227</t>
  </si>
  <si>
    <t xml:space="preserve">R-0390</t>
  </si>
  <si>
    <t xml:space="preserve">Step 4: Apply Le Chatelier’s Principle. Per Layer I.D + V: this is the Garlick Equilibrium at molecular scale. Disturbance produces opposing shift.</t>
  </si>
  <si>
    <t xml:space="preserve">v5.1 L3229</t>
  </si>
  <si>
    <t xml:space="preserve">R-0391</t>
  </si>
  <si>
    <t xml:space="preserve">Step 5: Apply Conservation Laws. Energy, momentum, charge, and information must balance.</t>
  </si>
  <si>
    <t xml:space="preserve">v5.1 L3231</t>
  </si>
  <si>
    <t xml:space="preserve">R-0392</t>
  </si>
  <si>
    <t xml:space="preserve">Step 6: Identify entropy direction. Spontaneous reactions move toward higher entropy. Local entropy reversal requires energy throughput.</t>
  </si>
  <si>
    <t xml:space="preserve">v5.1 L3233</t>
  </si>
  <si>
    <t xml:space="preserve">R-0393</t>
  </si>
  <si>
    <t xml:space="preserve">Step 7: Per Catalysis: the right framework accelerates without being consumed. The wrong framework is consumed without producing acceleration.</t>
  </si>
  <si>
    <t xml:space="preserve">v5.1 L3235</t>
  </si>
  <si>
    <t xml:space="preserve">R-0394</t>
  </si>
  <si>
    <t xml:space="preserve">Step 8: Document the conditions, the reaction, the products. Per Database step.</t>
  </si>
  <si>
    <t xml:space="preserve">v5.1 L3237</t>
  </si>
  <si>
    <t xml:space="preserve">R-0395</t>
  </si>
  <si>
    <t xml:space="preserve">ALG:Domain 9 — Biological Process Algorithm</t>
  </si>
  <si>
    <t xml:space="preserve">Step 1: Identify the biological system and its homeostatic set-point for each measurable variable.</t>
  </si>
  <si>
    <t xml:space="preserve">Domain 9 — Biological Process Algorithm</t>
  </si>
  <si>
    <t xml:space="preserve">v5.1 L3243</t>
  </si>
  <si>
    <t xml:space="preserve">R-0396</t>
  </si>
  <si>
    <t xml:space="preserve">Step 2: Detect deviations from set-point. Continuous monitoring is the organism’s baseline state.</t>
  </si>
  <si>
    <t xml:space="preserve">v5.1 L3245</t>
  </si>
  <si>
    <t xml:space="preserve">R-0397</t>
  </si>
  <si>
    <t xml:space="preserve">Step 3: Process the deviation through cellular signaling, gene expression, or hormonal cascade.</t>
  </si>
  <si>
    <t xml:space="preserve">v5.1 L3247</t>
  </si>
  <si>
    <t xml:space="preserve">R-0398</t>
  </si>
  <si>
    <t xml:space="preserve">Step 4: Respond with corrective action. The organism that achieves stasis without correction is dead.</t>
  </si>
  <si>
    <t xml:space="preserve">v5.1 L3249</t>
  </si>
  <si>
    <t xml:space="preserve">R-0399</t>
  </si>
  <si>
    <t xml:space="preserve">Step 5: Per Apoptosis: components that have served their function or accumulated damage self-terminate. Refusal becomes cancer.</t>
  </si>
  <si>
    <t xml:space="preserve">v5.1 L3251</t>
  </si>
  <si>
    <t xml:space="preserve">R-0400</t>
  </si>
  <si>
    <t xml:space="preserve">Step 6: Per the Immune Process: novel threats trigger recognition, amplification, response, memory formation. Memory makes the next encounter cheaper.</t>
  </si>
  <si>
    <t xml:space="preserve">v5.1 L3253</t>
  </si>
  <si>
    <t xml:space="preserve">R-0401</t>
  </si>
  <si>
    <t xml:space="preserve">Step 7: Per HRV (Heart Rate Variability): high variability indicates capacity for full Yang and full Yin. Low variability indicates collapsed dynamic middle.</t>
  </si>
  <si>
    <t xml:space="preserve">v5.1 L3255</t>
  </si>
  <si>
    <t xml:space="preserve">R-0402</t>
  </si>
  <si>
    <t xml:space="preserve">Step 8: Document patterns. Per Database step.</t>
  </si>
  <si>
    <t xml:space="preserve">v5.1 L3257</t>
  </si>
  <si>
    <t xml:space="preserve">R-0403</t>
  </si>
  <si>
    <t xml:space="preserve">ALG:Domain 10 — Evolutionary Process Algorithm</t>
  </si>
  <si>
    <t xml:space="preserve">Step 1: Identify the variation in the population.</t>
  </si>
  <si>
    <t xml:space="preserve">Domain 10 — Evolutionary Process Algorithm</t>
  </si>
  <si>
    <t xml:space="preserve">v5.1 L3263</t>
  </si>
  <si>
    <t xml:space="preserve">R-0404</t>
  </si>
  <si>
    <t xml:space="preserve">Step 2: Identify the selection pressure. What environmental conditions filter survival?</t>
  </si>
  <si>
    <t xml:space="preserve">v5.1 L3265</t>
  </si>
  <si>
    <t xml:space="preserve">R-0405</t>
  </si>
  <si>
    <t xml:space="preserve">Step 3: Per Convergent Evolution: identical inputs + environment produce identical outputs across substrates. Identify whether the convergent solution exists in the population.</t>
  </si>
  <si>
    <t xml:space="preserve">v5.1 L3267</t>
  </si>
  <si>
    <t xml:space="preserve">R-0406</t>
  </si>
  <si>
    <t xml:space="preserve">Step 4: Per Punctuated Equilibrium: long stability is interrupted by rapid change. Identify which phase the population is in.</t>
  </si>
  <si>
    <t xml:space="preserve">v5.1 L3269</t>
  </si>
  <si>
    <t xml:space="preserve">R-0407</t>
  </si>
  <si>
    <t xml:space="preserve">Step 5: Apply Yin/Yang. Variation (Yang) and Selection (Yin) must balance. Excess variation produces chaos. Excess selection produces stasis.</t>
  </si>
  <si>
    <t xml:space="preserve">v5.1 L3271</t>
  </si>
  <si>
    <t xml:space="preserve">R-0408</t>
  </si>
  <si>
    <t xml:space="preserve">Step 6: Per the Capsule mechanism: every extinct lineage contributed information to surviving lineages. Genome reflects all prior failures.</t>
  </si>
  <si>
    <t xml:space="preserve">v5.1 L3273</t>
  </si>
  <si>
    <t xml:space="preserve">R-0409</t>
  </si>
  <si>
    <t xml:space="preserve">Step 7: Per Process Density: complexity emerges at threshold density of integrated operations. Below threshold: organism does not adapt. Above threshold: organism rigidifies.</t>
  </si>
  <si>
    <t xml:space="preserve">v5.1 L3275</t>
  </si>
  <si>
    <t xml:space="preserve">R-0410</t>
  </si>
  <si>
    <t xml:space="preserve">Step 8: Document. Per Database step.</t>
  </si>
  <si>
    <t xml:space="preserve">v5.1 L3277</t>
  </si>
  <si>
    <t xml:space="preserve">R-0411</t>
  </si>
  <si>
    <t xml:space="preserve">ALG:Project Management Algorithm</t>
  </si>
  <si>
    <t xml:space="preserve">Step 1: Direct. State the project’s outcome in one sentence. If you cannot, the project is not yet defined.</t>
  </si>
  <si>
    <t xml:space="preserve">v5.1 L3362</t>
  </si>
  <si>
    <t xml:space="preserve">Per project; weekly cycles</t>
  </si>
  <si>
    <t xml:space="preserve">R-0412</t>
  </si>
  <si>
    <t xml:space="preserve">Step 2: Guide. Structure the project into phases. Each phase has a clear deliverable, owner, and falsifiability condition.</t>
  </si>
  <si>
    <t xml:space="preserve">v5.1 L3364</t>
  </si>
  <si>
    <t xml:space="preserve">R-0413</t>
  </si>
  <si>
    <t xml:space="preserve">Step 3: Gather. Identify all dependencies, constraints, stakeholders, and risks before the first build action.</t>
  </si>
  <si>
    <t xml:space="preserve">v5.1 L3366</t>
  </si>
  <si>
    <t xml:space="preserve">R-0414</t>
  </si>
  <si>
    <t xml:space="preserve">Step 4: Organize. Build the dependency graph. Sequence work by what must precede what, not by what is most exciting.</t>
  </si>
  <si>
    <t xml:space="preserve">v5.1 L3368</t>
  </si>
  <si>
    <t xml:space="preserve">R-0415</t>
  </si>
  <si>
    <t xml:space="preserve">Step 5: Apply Fibonacci sequencing. The first cycle establishes foundation. The next cycle is informed by the first. The third is informed by both. Do not parallelize work whose dependencies have not been resolved.</t>
  </si>
  <si>
    <t xml:space="preserve">v5.1 L3370</t>
  </si>
  <si>
    <t xml:space="preserve">R-0416</t>
  </si>
  <si>
    <t xml:space="preserve">Step 6: Identify the critical path. The longest chain of dependent tasks determines minimum project duration. Optimize the critical path before the parallel paths.</t>
  </si>
  <si>
    <t xml:space="preserve">v5.1 L3372</t>
  </si>
  <si>
    <t xml:space="preserve">R-0417</t>
  </si>
  <si>
    <t xml:space="preserve">Step 7: Apply Layer V BEAS at the project level. Score Correctness, Complexity, Patience, Resilience for the project itself.</t>
  </si>
  <si>
    <t xml:space="preserve">v5.1 L3374</t>
  </si>
  <si>
    <t xml:space="preserve">R-0418</t>
  </si>
  <si>
    <t xml:space="preserve">Step 8: Run weekly cycles per Shepherd’s Way. Direct (this week’s focus), Guide, Gather progress, Organize remaining work, Create deliverables, Database (write it down), Repetition.</t>
  </si>
  <si>
    <t xml:space="preserve">v5.1 L3376</t>
  </si>
  <si>
    <t xml:space="preserve">R-0419</t>
  </si>
  <si>
    <t xml:space="preserve">Step 9: Document scope changes explicitly. Scope creep is uncalibrated dynamic middle drift. Re-establish the middle deliberately.</t>
  </si>
  <si>
    <t xml:space="preserve">v5.1 L3378</t>
  </si>
  <si>
    <t xml:space="preserve">R-0420</t>
  </si>
  <si>
    <t xml:space="preserve">Step 10: Close the project. Per Repetition: capture lessons learned for the next project’s baseline.</t>
  </si>
  <si>
    <t xml:space="preserve">v5.1 L3380</t>
  </si>
  <si>
    <t xml:space="preserve">R-0421</t>
  </si>
  <si>
    <t xml:space="preserve">ALG:Crisis Response Algorithm</t>
  </si>
  <si>
    <t xml:space="preserve">Step 1: Detect. Confirm crisis is real before responding. Many “crises” are urgency dressed as emergency.</t>
  </si>
  <si>
    <t xml:space="preserve">v5.1 L3386</t>
  </si>
  <si>
    <t xml:space="preserve">Per crisis</t>
  </si>
  <si>
    <t xml:space="preserve">R-0422</t>
  </si>
  <si>
    <t xml:space="preserve">Step 2: Stop the bleeding. Address First Kingdom physical impact before processing causes.</t>
  </si>
  <si>
    <t xml:space="preserve">v5.1 L3388</t>
  </si>
  <si>
    <t xml:space="preserve">R-0423</t>
  </si>
  <si>
    <t xml:space="preserve">Step 3: Centralize command. Per Mentalism: in crisis, decision-making must converge to a clear Third Kingdom locus. Distributed reactive decisions amplify the crisis.</t>
  </si>
  <si>
    <t xml:space="preserve">v5.1 L3390</t>
  </si>
  <si>
    <t xml:space="preserve">R-0424</t>
  </si>
  <si>
    <t xml:space="preserve">Step 4: Establish the gradient between current state and acceptable state. The gradient is what the response will channel.</t>
  </si>
  <si>
    <t xml:space="preserve">v5.1 L3392</t>
  </si>
  <si>
    <t xml:space="preserve">R-0425</t>
  </si>
  <si>
    <t xml:space="preserve">Step 5: Sequence: triage → stabilization → root cause → prevention. Do not jump to root cause while triage is incomplete.</t>
  </si>
  <si>
    <t xml:space="preserve">v5.1 L3394</t>
  </si>
  <si>
    <t xml:space="preserve">R-0426</t>
  </si>
  <si>
    <t xml:space="preserve">Step 6: Communicate per Vibration. Match frequency of stakeholders. Panic responded to with calm reduces escalation. Calm responded to with panic produces panic.</t>
  </si>
  <si>
    <t xml:space="preserve">v5.1 L3396</t>
  </si>
  <si>
    <t xml:space="preserve">R-0427</t>
  </si>
  <si>
    <t xml:space="preserve">Step 7: Document the entire crisis as it happens. Notes, decisions, communications. Per Database step: post-crisis review requires real-time documentation.</t>
  </si>
  <si>
    <t xml:space="preserve">v5.1 L3398</t>
  </si>
  <si>
    <t xml:space="preserve">R-0428</t>
  </si>
  <si>
    <t xml:space="preserve">Step 8: Conduct post-crisis integration. Per Layer I.G: failures become substrate for resilience. What does this crisis teach about the system’s next iteration?</t>
  </si>
  <si>
    <t xml:space="preserve">v5.1 L3400</t>
  </si>
  <si>
    <t xml:space="preserve">R-0429</t>
  </si>
  <si>
    <t xml:space="preserve">Step 9: Apply Repetition. Each crisis handled informs the next at higher baseline. A crisis without integration is repeated.</t>
  </si>
  <si>
    <t xml:space="preserve">v5.1 L3402</t>
  </si>
  <si>
    <t xml:space="preserve">R-0430</t>
  </si>
  <si>
    <t xml:space="preserve">ALG:Brand and Identity Algorithm</t>
  </si>
  <si>
    <t xml:space="preserve">Step 1: Identify the Third Kingdom of the brand. What is it actually for? Not what it does — what it serves.</t>
  </si>
  <si>
    <t xml:space="preserve">v5.1 L3408</t>
  </si>
  <si>
    <t xml:space="preserve">Per brand review</t>
  </si>
  <si>
    <t xml:space="preserve">R-0431</t>
  </si>
  <si>
    <t xml:space="preserve">Step 2: Locate the convergence point per Layer IV. Where does the brand’s most-selfish creative desire converge with its most-selfless?</t>
  </si>
  <si>
    <t xml:space="preserve">v5.1 L3410</t>
  </si>
  <si>
    <t xml:space="preserve">R-0432</t>
  </si>
  <si>
    <t xml:space="preserve">Step 3: Identify the frequency. Per Vibration: a brand resonates at a specific frequency. Audiences at that frequency are the brand’s natural audience.</t>
  </si>
  <si>
    <t xml:space="preserve">v5.1 L3412</t>
  </si>
  <si>
    <t xml:space="preserve">R-0433</t>
  </si>
  <si>
    <t xml:space="preserve">Step 4: Establish the gradient between the audience’s current state and the state the brand promises to enable.</t>
  </si>
  <si>
    <t xml:space="preserve">v5.1 L3414</t>
  </si>
  <si>
    <t xml:space="preserve">R-0434</t>
  </si>
  <si>
    <t xml:space="preserve">Step 5: Encode the gradient in language, visual, and experience. Per Gender: the projection (Masculine) must find receptive form (Feminine).</t>
  </si>
  <si>
    <t xml:space="preserve">v5.1 L3416</t>
  </si>
  <si>
    <t xml:space="preserve">R-0435</t>
  </si>
  <si>
    <t xml:space="preserve">Step 6: Test for Correspondence. Does the brand express identically across every touchpoint? Inconsistency dissipates the frequency.</t>
  </si>
  <si>
    <t xml:space="preserve">v5.1 L3418</t>
  </si>
  <si>
    <t xml:space="preserve">R-0436</t>
  </si>
  <si>
    <t xml:space="preserve">Step 7: Document the brand standards. Per Database step. The brand that lives only in the founder’s head dies with the founder.</t>
  </si>
  <si>
    <t xml:space="preserve">v5.1 L3420</t>
  </si>
  <si>
    <t xml:space="preserve">R-0437</t>
  </si>
  <si>
    <t xml:space="preserve">Step 8: Iterate at higher baseline. Each market interaction integrates per Layer I.G into the brand’s evolving expression.</t>
  </si>
  <si>
    <t xml:space="preserve">v5.1 L3422</t>
  </si>
  <si>
    <t xml:space="preserve">R-0438</t>
  </si>
  <si>
    <t xml:space="preserve">ALG:Customer Service Algorithm</t>
  </si>
  <si>
    <t xml:space="preserve">Step 1: Detect. Receive the customer’s signal. Per Variable Principle: do not fill the variable of “what the customer wants” with assumption. Listen until the actual interest is visible.</t>
  </si>
  <si>
    <t xml:space="preserve">v5.1 L3428</t>
  </si>
  <si>
    <t xml:space="preserve">Per ticket</t>
  </si>
  <si>
    <t xml:space="preserve">R-0439</t>
  </si>
  <si>
    <t xml:space="preserve">Step 2: Match frequency before responding. Per Vibration: the customer’s emotional state must be acknowledged before content can land.</t>
  </si>
  <si>
    <t xml:space="preserve">v5.1 L3430</t>
  </si>
  <si>
    <t xml:space="preserve">R-0440</t>
  </si>
  <si>
    <t xml:space="preserve">Step 3: Identify which Hermetic principle the customer’s issue is operating within. Mentalism (they don’t see the structure), Polarity (they’re framing it as opposite when it’s same-axis), Cause and Effect (they’re tracing wrong cause).</t>
  </si>
  <si>
    <t xml:space="preserve">v5.1 L3432</t>
  </si>
  <si>
    <t xml:space="preserve">R-0441</t>
  </si>
  <si>
    <t xml:space="preserve">Step 4: Identify the gradient between current state and resolved state. Channel the resolution along that gradient.</t>
  </si>
  <si>
    <t xml:space="preserve">v5.1 L3434</t>
  </si>
  <si>
    <t xml:space="preserve">R-0442</t>
  </si>
  <si>
    <t xml:space="preserve">Step 5: Resolve at the Kingdom level the issue exists. First Kingdom (replace product). Second Kingdom (fix process). Third Kingdom (restore relationship and trust).</t>
  </si>
  <si>
    <t xml:space="preserve">v5.1 L3436</t>
  </si>
  <si>
    <t xml:space="preserve">R-0443</t>
  </si>
  <si>
    <t xml:space="preserve">Step 6: Document the interaction in the CRM. Per Database step. Patterns of customer issues are diagnostic for system improvements.</t>
  </si>
  <si>
    <t xml:space="preserve">v5.1 L3438</t>
  </si>
  <si>
    <t xml:space="preserve">R-0444</t>
  </si>
  <si>
    <t xml:space="preserve">Step 7: Per Repetition: each resolution informs system improvement. Service interactions are the slime mold integration of the product’s real-world operation.</t>
  </si>
  <si>
    <t xml:space="preserve">v5.1 L3440</t>
  </si>
  <si>
    <t xml:space="preserve">R-0445</t>
  </si>
  <si>
    <t xml:space="preserve">Step 8: Close the loop. Confirm resolution. Most service failures are confirmation failures.</t>
  </si>
  <si>
    <t xml:space="preserve">v5.1 L3442</t>
  </si>
  <si>
    <t xml:space="preserve">R-0446</t>
  </si>
  <si>
    <t xml:space="preserve">ALG:Vendor Management Algorithm</t>
  </si>
  <si>
    <t xml:space="preserve">Step 1: Identify the gradient your vendor is being asked to channel. What state do they bring you from to?</t>
  </si>
  <si>
    <t xml:space="preserve">v5.1 L3448</t>
  </si>
  <si>
    <t xml:space="preserve">Per vendor; monthly review</t>
  </si>
  <si>
    <t xml:space="preserve">R-0447</t>
  </si>
  <si>
    <t xml:space="preserve">Step 2: Apply Pillar I (Correctness). Has the vendor demonstrated correct execution at this scope before?</t>
  </si>
  <si>
    <t xml:space="preserve">v5.1 L3450</t>
  </si>
  <si>
    <t xml:space="preserve">R-0448</t>
  </si>
  <si>
    <t xml:space="preserve">Step 3: Apply Pillar II (Complexity). Does the vendor handle complexity equivalent to your situation, or only simpler?</t>
  </si>
  <si>
    <t xml:space="preserve">v5.1 L3452</t>
  </si>
  <si>
    <t xml:space="preserve">R-0449</t>
  </si>
  <si>
    <t xml:space="preserve">Step 4: Apply Pillar IV (Resilience). What is your downgrade path if the vendor fails? Per Layer I.B Texas Grid: a vendor with no fallback is a Texas grid.</t>
  </si>
  <si>
    <t xml:space="preserve">v5.1 L3454</t>
  </si>
  <si>
    <t xml:space="preserve">R-0450</t>
  </si>
  <si>
    <t xml:space="preserve">Step 5: Match frequency before contracting. Per Vibration: a frequency mismatch with a vendor produces friction at every touchpoint regardless of contract terms.</t>
  </si>
  <si>
    <t xml:space="preserve">v5.1 L3456</t>
  </si>
  <si>
    <t xml:space="preserve">R-0451</t>
  </si>
  <si>
    <t xml:space="preserve">Step 6: Document the contract per Variable Principle. Hold open all variables until measurable. Do not fill ambiguous terms with assumption.</t>
  </si>
  <si>
    <t xml:space="preserve">v5.1 L3458</t>
  </si>
  <si>
    <t xml:space="preserve">R-0452</t>
  </si>
  <si>
    <t xml:space="preserve">Step 7: Establish observation per Layer I.F. What metrics confirm the vendor is performing? What is the falsifiability condition for non-performance?</t>
  </si>
  <si>
    <t xml:space="preserve">v5.1 L3460</t>
  </si>
  <si>
    <t xml:space="preserve">R-0453</t>
  </si>
  <si>
    <t xml:space="preserve">Step 8: Per Repetition: monthly review. Performance trends matter more than single instances.</t>
  </si>
  <si>
    <t xml:space="preserve">v5.1 L3462</t>
  </si>
  <si>
    <t xml:space="preserve">R-0454</t>
  </si>
  <si>
    <t xml:space="preserve">ALG:Innovation and R&amp;D Algorithm</t>
  </si>
  <si>
    <t xml:space="preserve">Step 1: Identify the variable space. What is currently held open in the domain? Per Variable Principle: innovation lives at the boundary of held-open variables.</t>
  </si>
  <si>
    <t xml:space="preserve">v5.1 L3468</t>
  </si>
  <si>
    <t xml:space="preserve">Per innovation cycle</t>
  </si>
  <si>
    <t xml:space="preserve">R-0455</t>
  </si>
  <si>
    <t xml:space="preserve">Step 2: Identify which Hermetic principle the current solution is violating. The violation is the location of innovation opportunity.</t>
  </si>
  <si>
    <t xml:space="preserve">v5.1 L3470</t>
  </si>
  <si>
    <t xml:space="preserve">R-0456</t>
  </si>
  <si>
    <t xml:space="preserve">Step 3: Apply Layer I.G (Slime Mold). What prior paths have been attempted? What information do they contribute?</t>
  </si>
  <si>
    <t xml:space="preserve">v5.1 L3472</t>
  </si>
  <si>
    <t xml:space="preserve">R-0457</t>
  </si>
  <si>
    <t xml:space="preserve">Step 4: Generate options without filtering. Per Gather step: hold every variable open. Filtering during ideation destroys completeness.</t>
  </si>
  <si>
    <t xml:space="preserve">v5.1 L3474</t>
  </si>
  <si>
    <t xml:space="preserve">R-0458</t>
  </si>
  <si>
    <t xml:space="preserve">Step 5: Test each option against falsifiability. What would prove this option won’t work? Run the cheapest falsification first.</t>
  </si>
  <si>
    <t xml:space="preserve">v5.1 L3476</t>
  </si>
  <si>
    <t xml:space="preserve">R-0459</t>
  </si>
  <si>
    <t xml:space="preserve">Step 6: Build the surviving options at minimum viable scale (MVP). Apply Process Density: enough complexity to handle real cases, not so much it’s brittle.</t>
  </si>
  <si>
    <t xml:space="preserve">v5.1 L3478</t>
  </si>
  <si>
    <t xml:space="preserve">R-0460</t>
  </si>
  <si>
    <t xml:space="preserve">Step 7: Test in the real environment. Per Cause and Effect: laboratory results predict laboratory results. Field results predict field results.</t>
  </si>
  <si>
    <t xml:space="preserve">v5.1 L3480</t>
  </si>
  <si>
    <t xml:space="preserve">R-0461</t>
  </si>
  <si>
    <t xml:space="preserve">Step 8: Integrate failures per Layer I.G. Failed prototypes are not waste — they are substrate for the next iteration.</t>
  </si>
  <si>
    <t xml:space="preserve">v5.1 L3482</t>
  </si>
  <si>
    <t xml:space="preserve">R-0462</t>
  </si>
  <si>
    <t xml:space="preserve">Step 9: Document everything. Per Database step. Innovation undocumented is innovation lost.</t>
  </si>
  <si>
    <t xml:space="preserve">v5.1 L3484</t>
  </si>
  <si>
    <t xml:space="preserve">R-0463</t>
  </si>
  <si>
    <t xml:space="preserve">Step 10: Iterate at higher baseline. Each cycle is informed by every prior path.</t>
  </si>
  <si>
    <t xml:space="preserve">v5.1 L3486</t>
  </si>
  <si>
    <t xml:space="preserve">R-0464</t>
  </si>
  <si>
    <t xml:space="preserve">ALG:Risk Management Algorithm</t>
  </si>
  <si>
    <t xml:space="preserve">Step 1: Identify all named risks across the four pillars. Correctness (process risk), Complexity (handling-edge-case risk), Patience (premature-action risk), Resilience (single-point-of-failure risk).</t>
  </si>
  <si>
    <t xml:space="preserve">v5.1 L3492</t>
  </si>
  <si>
    <t xml:space="preserve">R-0465</t>
  </si>
  <si>
    <t xml:space="preserve">Step 2: Score each risk by probability × impact. Hold both factors as variables until measured — per Variable Principle: do not assume probabilities you have not estimated.</t>
  </si>
  <si>
    <t xml:space="preserve">v5.1 L3494</t>
  </si>
  <si>
    <t xml:space="preserve">R-0466</t>
  </si>
  <si>
    <t xml:space="preserve">Step 3: Apply Layer I.B Texas Grid analysis. What single failure would cascade into systemic collapse? That risk takes priority regardless of its probability.</t>
  </si>
  <si>
    <t xml:space="preserve">v5.1 L3496</t>
  </si>
  <si>
    <t xml:space="preserve">R-0467</t>
  </si>
  <si>
    <t xml:space="preserve">Step 4: Apply Pillar IV (Resilience). For each major risk, define the downgrade path. Per the framework: never fully dependent on any single vendor, platform, person, or assumption.</t>
  </si>
  <si>
    <t xml:space="preserve">v5.1 L3498</t>
  </si>
  <si>
    <t xml:space="preserve">R-0468</t>
  </si>
  <si>
    <t xml:space="preserve">Step 5: Establish observation per Layer I.F. What signals would warn of the risk materializing? Build instrumentation.</t>
  </si>
  <si>
    <t xml:space="preserve">v5.1 L3500</t>
  </si>
  <si>
    <t xml:space="preserve">R-0469</t>
  </si>
  <si>
    <t xml:space="preserve">Step 6: Build mitigation by Fibonacci. Foundation: most likely + most impactful first. Each subsequent mitigation informed by the prior two.</t>
  </si>
  <si>
    <t xml:space="preserve">v5.1 L3502</t>
  </si>
  <si>
    <t xml:space="preserve">R-0470</t>
  </si>
  <si>
    <t xml:space="preserve">Step 7: Document mitigations and their falsifiability conditions. The mitigation that cannot be tested cannot be trusted.</t>
  </si>
  <si>
    <t xml:space="preserve">v5.1 L3504</t>
  </si>
  <si>
    <t xml:space="preserve">R-0471</t>
  </si>
  <si>
    <t xml:space="preserve">Step 8: Review monthly. Risk profiles drift; the dynamic middle of risk-tolerance shifts with conditions.</t>
  </si>
  <si>
    <t xml:space="preserve">v5.1 L3506</t>
  </si>
  <si>
    <t xml:space="preserve">R-0472</t>
  </si>
  <si>
    <t xml:space="preserve">ALG:Compliance and Legal Strategy Algorithm</t>
  </si>
  <si>
    <t xml:space="preserve">Step 1: Identify the regulatory framework. State its specific requirements without filtering.</t>
  </si>
  <si>
    <t xml:space="preserve">v5.1 L3512</t>
  </si>
  <si>
    <t xml:space="preserve">Quarterly minimum</t>
  </si>
  <si>
    <t xml:space="preserve">R-0473</t>
  </si>
  <si>
    <t xml:space="preserve">Step 2: Apply Variable Principle to legal interpretation. Hold ambiguous regulations as bounded variables, not as resolved positions.</t>
  </si>
  <si>
    <t xml:space="preserve">v5.1 L3514</t>
  </si>
  <si>
    <t xml:space="preserve">R-0474</t>
  </si>
  <si>
    <t xml:space="preserve">Step 3: Identify the gradient between current state and compliant state.</t>
  </si>
  <si>
    <t xml:space="preserve">v5.1 L3516</t>
  </si>
  <si>
    <t xml:space="preserve">R-0475</t>
  </si>
  <si>
    <t xml:space="preserve">Step 4: Apply Layer I.G: prior legal precedents and case integrations inform the current approach.</t>
  </si>
  <si>
    <t xml:space="preserve">v5.1 L3518</t>
  </si>
  <si>
    <t xml:space="preserve">R-0476</t>
  </si>
  <si>
    <t xml:space="preserve">Step 5: Sequence compliance work by Pillar III (Patience): foundation before optimization. Get to baseline compliant before optimizing for efficiency.</t>
  </si>
  <si>
    <t xml:space="preserve">v5.1 L3520</t>
  </si>
  <si>
    <t xml:space="preserve">R-0477</t>
  </si>
  <si>
    <t xml:space="preserve">Step 6: Document everything per Database step. Legal compliance is documentation; tribal knowledge is liability.</t>
  </si>
  <si>
    <t xml:space="preserve">v5.1 L3522</t>
  </si>
  <si>
    <t xml:space="preserve">R-0478</t>
  </si>
  <si>
    <t xml:space="preserve">Step 7: Establish observation per Layer I.F. What audit-ready records prove compliance? Maintain them continuously, not retroactively.</t>
  </si>
  <si>
    <t xml:space="preserve">v5.1 L3524</t>
  </si>
  <si>
    <t xml:space="preserve">R-0479</t>
  </si>
  <si>
    <t xml:space="preserve">Step 8: Per Repetition: regulatory environments change. Quarterly review of compliance state is the minimum cycle.</t>
  </si>
  <si>
    <t xml:space="preserve">v5.1 L3526</t>
  </si>
  <si>
    <t xml:space="preserve">R-0480</t>
  </si>
  <si>
    <t xml:space="preserve">ALG:System Architecture Algorithm</t>
  </si>
  <si>
    <t xml:space="preserve">Step 1: Identify the system’s purpose. Per Mentalism: the architecture serves the Third Kingdom intent of the system. Without intent, no architecture is correct.</t>
  </si>
  <si>
    <t xml:space="preserve">v5.1 L3532</t>
  </si>
  <si>
    <t xml:space="preserve">Per system; each Fibonacci step</t>
  </si>
  <si>
    <t xml:space="preserve">R-0481</t>
  </si>
  <si>
    <t xml:space="preserve">Step 2: Map the actors and the flows between them. Who/what generates input? Who/what consumes output? What flows between?</t>
  </si>
  <si>
    <t xml:space="preserve">v5.1 L3534</t>
  </si>
  <si>
    <t xml:space="preserve">R-0482</t>
  </si>
  <si>
    <t xml:space="preserve">Step 3: Apply Three Kingdoms to each component. First (data, infrastructure, physical execution), Second (logic, orchestration, organization), Third (purpose, identity, governance).</t>
  </si>
  <si>
    <t xml:space="preserve">v5.1 L3536</t>
  </si>
  <si>
    <t xml:space="preserve">R-0483</t>
  </si>
  <si>
    <t xml:space="preserve">Step 4: Identify the gradients the architecture must channel. Performance, scale, cost, complexity — each is a polarity to be established and channeled.</t>
  </si>
  <si>
    <t xml:space="preserve">v5.1 L3538</t>
  </si>
  <si>
    <t xml:space="preserve">R-0484</t>
  </si>
  <si>
    <t xml:space="preserve">Step 5: Apply Pillar IV (Resilience). What single failure would cascade? Decouple at that point.</t>
  </si>
  <si>
    <t xml:space="preserve">v5.1 L3540</t>
  </si>
  <si>
    <t xml:space="preserve">R-0485</t>
  </si>
  <si>
    <t xml:space="preserve">Step 6: Apply Process Density. Above threshold: fragility, over-coupling. Below threshold: insufficient capability. Find the middle.</t>
  </si>
  <si>
    <t xml:space="preserve">v5.1 L3542</t>
  </si>
  <si>
    <t xml:space="preserve">R-0486</t>
  </si>
  <si>
    <t xml:space="preserve">Step 7: Document the architecture in writing AND in diagram. Per Database: a verbal architecture does not survive the first organizational change.</t>
  </si>
  <si>
    <t xml:space="preserve">v5.1 L3544</t>
  </si>
  <si>
    <t xml:space="preserve">R-0487</t>
  </si>
  <si>
    <t xml:space="preserve">Step 8: Establish observation per Layer I.F. Logging, monitoring, alerting. What is unobserved degrades silently.</t>
  </si>
  <si>
    <t xml:space="preserve">R-0488</t>
  </si>
  <si>
    <t xml:space="preserve">Step 9: Per Repetition: architecture review at every Fibonacci step. The architecture that fit at scale 5 will not fit at scale 13.</t>
  </si>
  <si>
    <t xml:space="preserve">v5.1 L3548</t>
  </si>
  <si>
    <t xml:space="preserve">R-0489</t>
  </si>
  <si>
    <t xml:space="preserve">ALG:Parenting Algorithm</t>
  </si>
  <si>
    <t xml:space="preserve">Step 1: Identify the Third Kingdom of the child. What awareness, identity, or vision is forming? The child is not blank — they have foundational consciousness.</t>
  </si>
  <si>
    <t xml:space="preserve">Parenting Algorithm</t>
  </si>
  <si>
    <t xml:space="preserve">v5.1 L3558</t>
  </si>
  <si>
    <t xml:space="preserve">R-0490</t>
  </si>
  <si>
    <t xml:space="preserve">Step 2: Identify which developmental scale you are operating at. The algorithm runs identically across scales, but the substrate (their cognitive, emotional, physical capacity) shifts what each step looks like.</t>
  </si>
  <si>
    <t xml:space="preserve">v5.1 L3560</t>
  </si>
  <si>
    <t xml:space="preserve">R-0491</t>
  </si>
  <si>
    <t xml:space="preserve">Step 3: Apply Vibration. Match the child’s frequency before introducing direction. Forced direction without rapport produces resistance regardless of correctness.</t>
  </si>
  <si>
    <t xml:space="preserve">v5.1 L3562</t>
  </si>
  <si>
    <t xml:space="preserve">R-0492</t>
  </si>
  <si>
    <t xml:space="preserve">Step 4: Apply Polarity. Behavior you want to eliminate is on the same axis as behavior you want to encourage. Transmute degree, do not eliminate the pole.</t>
  </si>
  <si>
    <t xml:space="preserve">v5.1 L3564</t>
  </si>
  <si>
    <t xml:space="preserve">R-0493</t>
  </si>
  <si>
    <t xml:space="preserve">Step 5: Apply Cause and Effect at the appropriate Kingdom level. First Kingdom: natural consequences. Second Kingdom: explicit rules. Third Kingdom: model the operation, do not lecture.</t>
  </si>
  <si>
    <t xml:space="preserve">v5.1 L3566</t>
  </si>
  <si>
    <t xml:space="preserve">R-0494</t>
  </si>
  <si>
    <t xml:space="preserve">Step 6: Apply Gender. Project clear intention (Masculine) while leaving space for the child’s reception and integration (Feminine). One without the other dysregulates.</t>
  </si>
  <si>
    <t xml:space="preserve">v5.1 L3568</t>
  </si>
  <si>
    <t xml:space="preserve">R-0495</t>
  </si>
  <si>
    <t xml:space="preserve">Step 7: Establish the dynamic middle. Permissive collapse leaves the child without structure. Authoritarian collapse leaves the child without agency. The middle shifts as the child grows.</t>
  </si>
  <si>
    <t xml:space="preserve">v5.1 L3570</t>
  </si>
  <si>
    <t xml:space="preserve">R-0496</t>
  </si>
  <si>
    <t xml:space="preserve">Step 8: Document patterns. Per Database step: patterns invisible in single moments become visible in written observation.</t>
  </si>
  <si>
    <t xml:space="preserve">v5.1 L3572</t>
  </si>
  <si>
    <t xml:space="preserve">R-0497</t>
  </si>
  <si>
    <t xml:space="preserve">Step 9: Per Repetition: each interaction integrates into the child’s baseline. The compound effect of consistent operation exceeds any single intervention.</t>
  </si>
  <si>
    <t xml:space="preserve">v5.1 L3574</t>
  </si>
  <si>
    <t xml:space="preserve">R-0498</t>
  </si>
  <si>
    <t xml:space="preserve">Step 10: Per Layer I.G: every parental failure that contributed information is integrated into your present capacity. You are constituted by every prior parenting cycle, including the failures.</t>
  </si>
  <si>
    <t xml:space="preserve">v5.1 L3576</t>
  </si>
  <si>
    <t xml:space="preserve">R-0499</t>
  </si>
  <si>
    <t xml:space="preserve">ALG:Time Management Algorithm</t>
  </si>
  <si>
    <t xml:space="preserve">Step 1: Identify the convergence point per Layer IV (your structural purpose). All time allocation filters through: does this compound toward the convergence point or away?</t>
  </si>
  <si>
    <t xml:space="preserve">Time Management Algorithm</t>
  </si>
  <si>
    <t xml:space="preserve">v5.1 L3582</t>
  </si>
  <si>
    <t xml:space="preserve">R-0500</t>
  </si>
  <si>
    <t xml:space="preserve">Step 2: Apply Pareto. 20% of activities produce 80% of results. Identify the 20%. Default-protect that time.</t>
  </si>
  <si>
    <t xml:space="preserve">v5.1 L3584</t>
  </si>
  <si>
    <t xml:space="preserve">R-0501</t>
  </si>
  <si>
    <t xml:space="preserve">Step 3: Apply Three Kingdoms to time itself. Third Kingdom time (vision, contemplation, identity work). Second Kingdom time (planning, systems, decisions). First Kingdom time (execution). Each Kingdom requires distinct time blocks; mixing them dilutes both.</t>
  </si>
  <si>
    <t xml:space="preserve">v5.1 L3586</t>
  </si>
  <si>
    <t xml:space="preserve">R-0502</t>
  </si>
  <si>
    <t xml:space="preserve">Step 4: Apply Yin/Yang. Yang time (creation, output, expression) and Yin time (rest, integration, recovery) must alternate. Permanent Yang produces burnout.</t>
  </si>
  <si>
    <t xml:space="preserve">v5.1 L3588</t>
  </si>
  <si>
    <t xml:space="preserve">R-0503</t>
  </si>
  <si>
    <t xml:space="preserve">Step 5: Apply Rhythm. Honor circadian, weekly, and seasonal rhythms. Fight rhythm and the cost compounds.</t>
  </si>
  <si>
    <t xml:space="preserve">v5.1 L3590</t>
  </si>
  <si>
    <t xml:space="preserve">R-0504</t>
  </si>
  <si>
    <t xml:space="preserve">Step 6: Establish observation per Layer I.F. Track actual time allocation against intended. The gap is where the invisible drift lives.</t>
  </si>
  <si>
    <t xml:space="preserve">v5.1 L3592</t>
  </si>
  <si>
    <t xml:space="preserve">R-0505</t>
  </si>
  <si>
    <t xml:space="preserve">Step 7: Apply Variable Principle to your own estimates. You are bad at estimating time. Hold estimates as bounded variables, not as facts.</t>
  </si>
  <si>
    <t xml:space="preserve">v5.1 L3594</t>
  </si>
  <si>
    <t xml:space="preserve">R-0506</t>
  </si>
  <si>
    <t xml:space="preserve">Step 8: Per Repetition: weekly review. Adjust the dynamic middle of allocation as conditions evolve.</t>
  </si>
  <si>
    <t xml:space="preserve">v5.1 L3596</t>
  </si>
  <si>
    <t xml:space="preserve">R-0507</t>
  </si>
  <si>
    <t xml:space="preserve">ALG:Energy Management Algorithm</t>
  </si>
  <si>
    <t xml:space="preserve">Step 1: Identify the gradients you currently have available. Physical energy, cognitive energy, emotional energy, spiritual energy.</t>
  </si>
  <si>
    <t xml:space="preserve">Energy Management Algorithm</t>
  </si>
  <si>
    <t xml:space="preserve">v5.1 L3602</t>
  </si>
  <si>
    <t xml:space="preserve">R-0508</t>
  </si>
  <si>
    <t xml:space="preserve">Step 2: Per Layer I.E: each gradient renews through cycle. Sleep renews physical. Solitude renews cognitive. Connection renews emotional. Practice renews spiritual.</t>
  </si>
  <si>
    <t xml:space="preserve">v5.1 L3604</t>
  </si>
  <si>
    <t xml:space="preserve">R-0509</t>
  </si>
  <si>
    <t xml:space="preserve">Step 3: Identify the dynamic middle. Permanent activation collapses the gradient. Permanent rest fails to channel it.</t>
  </si>
  <si>
    <t xml:space="preserve">v5.1 L3606</t>
  </si>
  <si>
    <t xml:space="preserve">R-0510</t>
  </si>
  <si>
    <t xml:space="preserve">Step 4: Match the activity to the gradient. Cognitive work in cognitive-energy-high windows. Physical work in physical-energy-high windows. Per Vibration: frequency matching.</t>
  </si>
  <si>
    <t xml:space="preserve">v5.1 L3608</t>
  </si>
  <si>
    <t xml:space="preserve">R-0511</t>
  </si>
  <si>
    <t xml:space="preserve">Step 5: Establish observation. Track which activities deplete which gradients faster than expected. The mismatch is diagnostic.</t>
  </si>
  <si>
    <t xml:space="preserve">v5.1 L3610</t>
  </si>
  <si>
    <t xml:space="preserve">R-0512</t>
  </si>
  <si>
    <t xml:space="preserve">Step 6: Per the Capsule: energy management compounds. Each well-managed cycle informs the next. Each mismanaged cycle teaches via cost.</t>
  </si>
  <si>
    <t xml:space="preserve">v5.1 L3612</t>
  </si>
  <si>
    <t xml:space="preserve">R-0513</t>
  </si>
  <si>
    <t xml:space="preserve">Step 7: Per Documentation: track the patterns. Patterns invisible in one day become visible in monthly written records.</t>
  </si>
  <si>
    <t xml:space="preserve">v5.1 L3614</t>
  </si>
  <si>
    <t xml:space="preserve">R-0514</t>
  </si>
  <si>
    <t xml:space="preserve">ALG:Habit Formation Algorithm</t>
  </si>
  <si>
    <t xml:space="preserve">Step 1: Identify the desired habit precisely. “Exercise more” is not a habit; “squats every weekday morning at 7 AM” is.</t>
  </si>
  <si>
    <t xml:space="preserve">Habit Formation Algorithm</t>
  </si>
  <si>
    <t xml:space="preserve">v5.1 L3620</t>
  </si>
  <si>
    <t xml:space="preserve">Daily tracking</t>
  </si>
  <si>
    <t xml:space="preserve">R-0515</t>
  </si>
  <si>
    <t xml:space="preserve">Step 2: Identify which Kingdom the habit serves. Most failed habits attempt First Kingdom expression without Second Kingdom system or Third Kingdom anchor.</t>
  </si>
  <si>
    <t xml:space="preserve">v5.1 L3622</t>
  </si>
  <si>
    <t xml:space="preserve">R-0516</t>
  </si>
  <si>
    <t xml:space="preserve">Step 3: Establish the gradient. Current state → desired state. The gradient is what the habit channels.</t>
  </si>
  <si>
    <t xml:space="preserve">v5.1 L3624</t>
  </si>
  <si>
    <t xml:space="preserve">R-0517</t>
  </si>
  <si>
    <t xml:space="preserve">Step 4: Apply Process Density. Start at low density. One simple action, repeated daily. Per Fibonacci: foundation before expansion.</t>
  </si>
  <si>
    <t xml:space="preserve">v5.1 L3626</t>
  </si>
  <si>
    <t xml:space="preserve">R-0518</t>
  </si>
  <si>
    <t xml:space="preserve">Step 5: Apply Cause and Effect. Set a specific cause (cue) that triggers the habit. Without cue-binding, habits operate by willpower, which depletes.</t>
  </si>
  <si>
    <t xml:space="preserve">v5.1 L3628</t>
  </si>
  <si>
    <t xml:space="preserve">R-0519</t>
  </si>
  <si>
    <t xml:space="preserve">Step 6: Apply Vibration. Match the habit’s frequency to the time of day, environment, and emotional state where it most easily lands.</t>
  </si>
  <si>
    <t xml:space="preserve">v5.1 L3630</t>
  </si>
  <si>
    <t xml:space="preserve">R-0520</t>
  </si>
  <si>
    <t xml:space="preserve">Step 7: Document each instance. Per Database step. Habits unrecorded slip without notice.</t>
  </si>
  <si>
    <t xml:space="preserve">v5.1 L3632</t>
  </si>
  <si>
    <t xml:space="preserve">R-0521</t>
  </si>
  <si>
    <t xml:space="preserve">Step 8: Per Repetition: each instance compounds. Per the Capsule: every prior instance, including missed ones, is integrated into present capacity.</t>
  </si>
  <si>
    <t xml:space="preserve">v5.1 L3634</t>
  </si>
  <si>
    <t xml:space="preserve">R-0522</t>
  </si>
  <si>
    <t xml:space="preserve">Step 9: After ~21-66 days the habit moves from Second Kingdom (deliberate system) to First Kingdom (automatic execution). Continue monitoring.</t>
  </si>
  <si>
    <t xml:space="preserve">v5.1 L3636</t>
  </si>
  <si>
    <t xml:space="preserve">R-0523</t>
  </si>
  <si>
    <t xml:space="preserve">ALG:Skill Acquisition Algorithm</t>
  </si>
  <si>
    <t xml:space="preserve">Step 1: Identify the skill precisely and the level you are aiming for.</t>
  </si>
  <si>
    <t xml:space="preserve">Skill Acquisition Algorithm</t>
  </si>
  <si>
    <t xml:space="preserve">v5.1 L3642</t>
  </si>
  <si>
    <t xml:space="preserve">Per skill plan</t>
  </si>
  <si>
    <t xml:space="preserve">R-0524</t>
  </si>
  <si>
    <t xml:space="preserve">Step 2: Identify the convergence point with your structural purpose (Layer IV). Skills compound when they serve purpose; orphan skills atrophy.</t>
  </si>
  <si>
    <t xml:space="preserve">v5.1 L3644</t>
  </si>
  <si>
    <t xml:space="preserve">R-0525</t>
  </si>
  <si>
    <t xml:space="preserve">Step 3: Apply the Learning Algorithm (already specified) at the meta level.</t>
  </si>
  <si>
    <t xml:space="preserve">v5.1 L3646</t>
  </si>
  <si>
    <t xml:space="preserve">R-0526</t>
  </si>
  <si>
    <t xml:space="preserve">Step 4: Apply Process Density. Skills require dense, deliberate practice, not diffuse exposure. 1 hour focused exceeds 5 hours distracted.</t>
  </si>
  <si>
    <t xml:space="preserve">v5.1 L3648</t>
  </si>
  <si>
    <t xml:space="preserve">R-0527</t>
  </si>
  <si>
    <t xml:space="preserve">Step 5: Apply Fibonacci sequencing. Foundation skill, foundation skill, first integration, first refinement, first system. Do not skip.</t>
  </si>
  <si>
    <t xml:space="preserve">v5.1 L3650</t>
  </si>
  <si>
    <t xml:space="preserve">R-0528</t>
  </si>
  <si>
    <t xml:space="preserve">Step 6: Apply Vibration. Find practice partners and teachers at slightly higher frequency than yours. Resonance pulls upward.</t>
  </si>
  <si>
    <t xml:space="preserve">v5.1 L3652</t>
  </si>
  <si>
    <t xml:space="preserve">R-0529</t>
  </si>
  <si>
    <t xml:space="preserve">Step 7: Per Cause and Effect: deliberate practice (cause) produces skill growth (effect). Repetition without deliberation produces fossilized error.</t>
  </si>
  <si>
    <t xml:space="preserve">v5.1 L3654</t>
  </si>
  <si>
    <t xml:space="preserve">R-0530</t>
  </si>
  <si>
    <t xml:space="preserve">Step 8: Document deliberately. Per Database step. Recordings, written reflections, performance metrics.</t>
  </si>
  <si>
    <t xml:space="preserve">v5.1 L3656</t>
  </si>
  <si>
    <t xml:space="preserve">R-0531</t>
  </si>
  <si>
    <t xml:space="preserve">Step 9: Per Layer I.G: failed attempts integrate into capacity. Your skill is constituted by every prior failure that informed the corrections.</t>
  </si>
  <si>
    <t xml:space="preserve">v5.1 L3658</t>
  </si>
  <si>
    <t xml:space="preserve">R-0532</t>
  </si>
  <si>
    <t xml:space="preserve">Step 10: Per Repetition: each cycle is informed by all prior cycles. Skill compounds the way capital compounds: not linearly.</t>
  </si>
  <si>
    <t xml:space="preserve">v5.1 L3660</t>
  </si>
  <si>
    <t xml:space="preserve">R-0533</t>
  </si>
  <si>
    <t xml:space="preserve">ALG:Grief Algorithm</t>
  </si>
  <si>
    <t xml:space="preserve">Step 1: Recognize that grief is not a problem to solve. It is a process to complete. Per Trauma as Incomplete Cycle (Domain 3): the failure mode is forced completion, not slow completion.</t>
  </si>
  <si>
    <t xml:space="preserve">Grief Algorithm</t>
  </si>
  <si>
    <t xml:space="preserve">v5.1 L3666</t>
  </si>
  <si>
    <t xml:space="preserve">R-0534</t>
  </si>
  <si>
    <t xml:space="preserve">Step 2: Identify what was lost at all three Kingdom levels. First Kingdom (their physical presence, your shared physical space). Second Kingdom (the patterns and routines). Third Kingdom (the identity-with that no longer has its other half).</t>
  </si>
  <si>
    <t xml:space="preserve">v5.1 L3668</t>
  </si>
  <si>
    <t xml:space="preserve">R-0535</t>
  </si>
  <si>
    <t xml:space="preserve">Step 3: Apply Yin/Yang. Grief requires Yin processing (interior, slow, receptive). Forced Yang (productivity, distraction) does not heal; it suspends the cycle in incomplete state.</t>
  </si>
  <si>
    <t xml:space="preserve">v5.1 L3670</t>
  </si>
  <si>
    <t xml:space="preserve">R-0536</t>
  </si>
  <si>
    <t xml:space="preserve">Step 4: Apply Rhythm. Grief is not linear. The pendulum returns to grief after periods of normalcy. This is rhythm operating; not regression.</t>
  </si>
  <si>
    <t xml:space="preserve">v5.1 L3672</t>
  </si>
  <si>
    <t xml:space="preserve">R-0537</t>
  </si>
  <si>
    <t xml:space="preserve">Step 5: Per Layer I.G (Slime Mold Integration): the lost relationship is integrated into your present configuration. Nothing is lost in the structural sense — every shared moment is in you. The grief is the recognition of integration becoming visible.</t>
  </si>
  <si>
    <t xml:space="preserve">v5.1 L3674</t>
  </si>
  <si>
    <t xml:space="preserve">R-0538</t>
  </si>
  <si>
    <t xml:space="preserve">Step 6: Per Mentalism: what made the relationship matter is in the Third Kingdom; that is not destroyed by First Kingdom dissolution.</t>
  </si>
  <si>
    <t xml:space="preserve">v5.1 L3676</t>
  </si>
  <si>
    <t xml:space="preserve">R-0539</t>
  </si>
  <si>
    <t xml:space="preserve">Step 7: Establish observation per Layer I.F. Track the grief’s actual movement, not the movement you think it should have. Patterns reveal where the cycle is in completion.</t>
  </si>
  <si>
    <t xml:space="preserve">v5.1 L3678</t>
  </si>
  <si>
    <t xml:space="preserve">R-0540</t>
  </si>
  <si>
    <t xml:space="preserve">Step 8: Per Documentation: write through the grief. Journals, letters to the lost, articulated memories. Per Database: undocumented grief returns repeatedly at full cost.</t>
  </si>
  <si>
    <t xml:space="preserve">v5.1 L3680</t>
  </si>
  <si>
    <t xml:space="preserve">R-0541</t>
  </si>
  <si>
    <t xml:space="preserve">Step 9: Per Repetition: grief integrates over time. Per the Capsule: every prior moment of grief is integrated into present capacity. The grief becomes substrate, not chain.</t>
  </si>
  <si>
    <t xml:space="preserve">v5.1 L3682</t>
  </si>
  <si>
    <t xml:space="preserve">R-0542</t>
  </si>
  <si>
    <t xml:space="preserve">ALG:Major Life Transition Algorithm</t>
  </si>
  <si>
    <t xml:space="preserve">Step 1: Recognize that the transition itself is a Layer 0 cycle: an old DETECT → PROCESS → RESPOND configuration is closing; a new one is opening. The interregnum is not failure — it is the cycle’s structural midpoint.</t>
  </si>
  <si>
    <t xml:space="preserve">Major Life Transition Algorithm</t>
  </si>
  <si>
    <t xml:space="preserve">v5.1 L3688</t>
  </si>
  <si>
    <t xml:space="preserve">R-0543</t>
  </si>
  <si>
    <t xml:space="preserve">Step 2: Identify what is dissolving and what is forming. Per Layer I.E: the gradient that powered the prior phase is collapsing; a new gradient is establishing.</t>
  </si>
  <si>
    <t xml:space="preserve">v5.1 L3690</t>
  </si>
  <si>
    <t xml:space="preserve">R-0544</t>
  </si>
  <si>
    <t xml:space="preserve">Step 3: Per Punctuated Equilibrium: the maximum contraction enables the maximum subsequent expansion. The transition’s difficulty is proportional to the next phase’s capacity.</t>
  </si>
  <si>
    <t xml:space="preserve">v5.1 L3692</t>
  </si>
  <si>
    <t xml:space="preserve">R-0545</t>
  </si>
  <si>
    <t xml:space="preserve">Step 4: Apply Three Kingdoms. Identify what changes at each Kingdom level. First Kingdom (location, body, daily activities). Second Kingdom (roles, responsibilities, systems). Third Kingdom (identity, purpose, sense of self).</t>
  </si>
  <si>
    <t xml:space="preserve">v5.1 L3694</t>
  </si>
  <si>
    <t xml:space="preserve">R-0546</t>
  </si>
  <si>
    <t xml:space="preserve">Step 5: Per Yin/Yang: transitions are predominantly Yin (receptive, contracting, internal). Forced Yang (premature action, replacement of lost identity) does not work.</t>
  </si>
  <si>
    <t xml:space="preserve">v5.1 L3696</t>
  </si>
  <si>
    <t xml:space="preserve">R-0547</t>
  </si>
  <si>
    <t xml:space="preserve">Step 6: Per the Capsule: the prior phase is not lost. Every prior path is integrated into the present. You carry forward the substance, not just the memory.</t>
  </si>
  <si>
    <t xml:space="preserve">v5.1 L3698</t>
  </si>
  <si>
    <t xml:space="preserve">R-0548</t>
  </si>
  <si>
    <t xml:space="preserve">Step 7: Establish observation. Track which dimensions of the transition are progressing and which are stuck.</t>
  </si>
  <si>
    <t xml:space="preserve">v5.1 L3700</t>
  </si>
  <si>
    <t xml:space="preserve">R-0549</t>
  </si>
  <si>
    <t xml:space="preserve">Step 8: Per Documentation: write through the transition. Articulation accelerates integration.</t>
  </si>
  <si>
    <t xml:space="preserve">v5.1 L3702</t>
  </si>
  <si>
    <t xml:space="preserve">R-0550</t>
  </si>
  <si>
    <t xml:space="preserve">Step 9: Per Repetition: the transition completes when the new gradient is established and the new cycle begins. The completion is recognized retrospectively, not announced.</t>
  </si>
  <si>
    <t xml:space="preserve">v5.1 L3704</t>
  </si>
  <si>
    <t xml:space="preserve">R-0551</t>
  </si>
  <si>
    <t xml:space="preserve">ALG:Pattern Recognition Algorithm</t>
  </si>
  <si>
    <t xml:space="preserve">Step 1: Capture the data without filtering. Per Variable Principle: hold every observation open. Filtering during capture destroys pattern visibility.</t>
  </si>
  <si>
    <t xml:space="preserve">v5.1 L3714</t>
  </si>
  <si>
    <t xml:space="preserve">R-0552</t>
  </si>
  <si>
    <t xml:space="preserve">Step 2: Sort the data along multiple axes. Time, location, actor, outcome, context. Patterns invisible on one axis become visible on another.</t>
  </si>
  <si>
    <t xml:space="preserve">v5.1 L3716</t>
  </si>
  <si>
    <t xml:space="preserve">R-0553</t>
  </si>
  <si>
    <t xml:space="preserve">Step 3: Per Correspondence: check whether the pattern at this scale appears at adjacent scales. Cross-scale recurrence is high-confidence pattern; single-scale appearance may be coincidence.</t>
  </si>
  <si>
    <t xml:space="preserve">v5.1 L3718</t>
  </si>
  <si>
    <t xml:space="preserve">R-0554</t>
  </si>
  <si>
    <t xml:space="preserve">Step 4: Per the Variable Principle: name the variables the pattern depends on. A “pattern” that requires arbitrary variable selection is overfitting.</t>
  </si>
  <si>
    <t xml:space="preserve">v5.1 L3720</t>
  </si>
  <si>
    <t xml:space="preserve">R-0555</t>
  </si>
  <si>
    <t xml:space="preserve">Step 5: Test the pattern’s falsifiability. What observation would prove the pattern wrong? If nothing, it is not a pattern — it is a story.</t>
  </si>
  <si>
    <t xml:space="preserve">v5.1 L3722</t>
  </si>
  <si>
    <t xml:space="preserve">R-0556</t>
  </si>
  <si>
    <t xml:space="preserve">Step 6: Per Layer I.G: prior failed pattern hypotheses are integrated into your current pattern recognition capacity. Your detection is constituted by every prior misidentification.</t>
  </si>
  <si>
    <t xml:space="preserve">v5.1 L3724</t>
  </si>
  <si>
    <t xml:space="preserve">R-0557</t>
  </si>
  <si>
    <t xml:space="preserve">Step 7: Document the pattern. Per Database step. Patterns articulated externally become testable; patterns held only internally drift.</t>
  </si>
  <si>
    <t xml:space="preserve">v5.1 L3726</t>
  </si>
  <si>
    <t xml:space="preserve">R-0558</t>
  </si>
  <si>
    <t xml:space="preserve">ALG:Synthesis Algorithm</t>
  </si>
  <si>
    <t xml:space="preserve">Step 1: Identify the disparate inputs to be synthesized. Multiple sources, multiple domains, multiple frames.</t>
  </si>
  <si>
    <t xml:space="preserve">v5.1 L3732</t>
  </si>
  <si>
    <t xml:space="preserve">Per synthesis</t>
  </si>
  <si>
    <t xml:space="preserve">R-0559</t>
  </si>
  <si>
    <t xml:space="preserve">Step 2: Per Correspondence: identify what algorithm or structure operates across all inputs. Where the inputs share an underlying algorithm, synthesis is structural; where they don’t, synthesis is forced.</t>
  </si>
  <si>
    <t xml:space="preserve">v5.1 L3734</t>
  </si>
  <si>
    <t xml:space="preserve">R-0560</t>
  </si>
  <si>
    <t xml:space="preserve">Step 3: Per Mentalism: locate the Third Kingdom of each input. What is each input actually about? Surface differences often dissolve at the Third Kingdom level.</t>
  </si>
  <si>
    <t xml:space="preserve">v5.1 L3736</t>
  </si>
  <si>
    <t xml:space="preserve">R-0561</t>
  </si>
  <si>
    <t xml:space="preserve">Step 4: Per the Variable Principle: hold open the differences between inputs as bounded variables. Premature synthesis collapses real differences.</t>
  </si>
  <si>
    <t xml:space="preserve">v5.1 L3738</t>
  </si>
  <si>
    <t xml:space="preserve">R-0562</t>
  </si>
  <si>
    <t xml:space="preserve">Step 5: Identify the gradient. Synthesis channels a gradient between fragmented understanding and integrated understanding.</t>
  </si>
  <si>
    <t xml:space="preserve">v5.1 L3740</t>
  </si>
  <si>
    <t xml:space="preserve">R-0563</t>
  </si>
  <si>
    <t xml:space="preserve">Step 6: Apply the Process Density principle. Below threshold: inputs remain distinct, no synthesis. At threshold: synthesis emerges. Above threshold: forced synthesis loses fidelity.</t>
  </si>
  <si>
    <t xml:space="preserve">v5.1 L3742</t>
  </si>
  <si>
    <t xml:space="preserve">R-0564</t>
  </si>
  <si>
    <t xml:space="preserve">Step 7: Document the synthesis. Per Database step. The synthesis that exists only verbally dies with the speaker.</t>
  </si>
  <si>
    <t xml:space="preserve">v5.1 L3744</t>
  </si>
  <si>
    <t xml:space="preserve">R-0565</t>
  </si>
  <si>
    <t xml:space="preserve">Step 8: Per Layer I.G: prior synthesis attempts are integrated into present capacity. Your current synthesis is constituted by every prior synthesis, including the failed ones.</t>
  </si>
  <si>
    <t xml:space="preserve">v5.1 L3746</t>
  </si>
  <si>
    <t xml:space="preserve">R-0566</t>
  </si>
  <si>
    <t xml:space="preserve">ALG:Forecasting Algorithm</t>
  </si>
  <si>
    <t xml:space="preserve">Step 1: Identify the variable being forecast. State precisely what is being predicted, by when, with what confidence interval.</t>
  </si>
  <si>
    <t xml:space="preserve">v5.1 L3752</t>
  </si>
  <si>
    <t xml:space="preserve">R-0567</t>
  </si>
  <si>
    <t xml:space="preserve">Step 2: Apply the Variable Principle ruthlessly. What is measurable? What are you assuming? Most forecast errors come from filling assumed variables with confident-seeming guesses.</t>
  </si>
  <si>
    <t xml:space="preserve">v5.1 L3754</t>
  </si>
  <si>
    <t xml:space="preserve">R-0568</t>
  </si>
  <si>
    <t xml:space="preserve">Step 3: Apply Rhythm. The current cycle phase determines what kind of trajectory is likely.</t>
  </si>
  <si>
    <t xml:space="preserve">v5.1 L3756</t>
  </si>
  <si>
    <t xml:space="preserve">R-0569</t>
  </si>
  <si>
    <t xml:space="preserve">Step 4: Apply Layer I.G. What prior similar situations exist? What information do their outcomes contribute?</t>
  </si>
  <si>
    <t xml:space="preserve">v5.1 L3758</t>
  </si>
  <si>
    <t xml:space="preserve">R-0570</t>
  </si>
  <si>
    <t xml:space="preserve">Step 5: Per Cause and Effect: identify the causes currently set. Forecasts that ignore set causes are wishful.</t>
  </si>
  <si>
    <t xml:space="preserve">v5.1 L3760</t>
  </si>
  <si>
    <t xml:space="preserve">R-0571</t>
  </si>
  <si>
    <t xml:space="preserve">Step 6: Per Pareto: 20% of variables drive 80% of outcomes. Identify the 20% — forecast those, not the 80%.</t>
  </si>
  <si>
    <t xml:space="preserve">v5.1 L3762</t>
  </si>
  <si>
    <t xml:space="preserve">R-0572</t>
  </si>
  <si>
    <t xml:space="preserve">Step 7: State the falsifiability conditions. Under what observation would the forecast be wrong? At what threshold?</t>
  </si>
  <si>
    <t xml:space="preserve">v5.1 L3764</t>
  </si>
  <si>
    <t xml:space="preserve">R-0573</t>
  </si>
  <si>
    <t xml:space="preserve">Step 8: Document the forecast and its assumptions. Per Database step. Without documentation, forecast accuracy cannot be evaluated and improved.</t>
  </si>
  <si>
    <t xml:space="preserve">v5.1 L3766</t>
  </si>
  <si>
    <t xml:space="preserve">R-0574</t>
  </si>
  <si>
    <t xml:space="preserve">Step 9: Per Repetition: forecast accuracy compounds with deliberate review. Each forecast informs the calibration of the next.</t>
  </si>
  <si>
    <t xml:space="preserve">v5.1 L3768</t>
  </si>
  <si>
    <t xml:space="preserve">R-0575</t>
  </si>
  <si>
    <t xml:space="preserve">ALG:Investigation and Research Algorithm</t>
  </si>
  <si>
    <t xml:space="preserve">Step 1: State the question being investigated with maximum precision.</t>
  </si>
  <si>
    <t xml:space="preserve">Investigation and Research Algorithm</t>
  </si>
  <si>
    <t xml:space="preserve">v5.1 L3774</t>
  </si>
  <si>
    <t xml:space="preserve">Per question</t>
  </si>
  <si>
    <t xml:space="preserve">R-0576</t>
  </si>
  <si>
    <t xml:space="preserve">Step 2: Apply the Variable Principle. Distinguish what is known, what is bounded, what is held open.</t>
  </si>
  <si>
    <t xml:space="preserve">v5.1 L3776</t>
  </si>
  <si>
    <t xml:space="preserve">R-0577</t>
  </si>
  <si>
    <t xml:space="preserve">Step 3: Identify the highest-leverage variable to narrow first. Per Pareto: 20% of unknowns determine 80% of the answer.</t>
  </si>
  <si>
    <t xml:space="preserve">v5.1 L3778</t>
  </si>
  <si>
    <t xml:space="preserve">R-0578</t>
  </si>
  <si>
    <t xml:space="preserve">Step 4: Design the inquiry to maximally narrow that variable. Per Layer ◇: state the falsifiability condition before gathering data.</t>
  </si>
  <si>
    <t xml:space="preserve">v5.1 L3780</t>
  </si>
  <si>
    <t xml:space="preserve">R-0579</t>
  </si>
  <si>
    <t xml:space="preserve">Step 5: Gather without filtering per Shepherd’s Way Step 3. Hold every observation open.</t>
  </si>
  <si>
    <t xml:space="preserve">v5.1 L3782</t>
  </si>
  <si>
    <t xml:space="preserve">R-0580</t>
  </si>
  <si>
    <t xml:space="preserve">Step 6: Apply Correspondence. Does the answer at this scale apply at adjacent scales? Cross-scale verification strengthens conclusions.</t>
  </si>
  <si>
    <t xml:space="preserve">v5.1 L3784</t>
  </si>
  <si>
    <t xml:space="preserve">R-0581</t>
  </si>
  <si>
    <t xml:space="preserve">Step 7: Apply Layer I.G. What prior investigations exist? Their failures and successes inform the current.</t>
  </si>
  <si>
    <t xml:space="preserve">v5.1 L3786</t>
  </si>
  <si>
    <t xml:space="preserve">R-0582</t>
  </si>
  <si>
    <t xml:space="preserve">Step 8: Status the conclusion: resolved, bounded, held open.</t>
  </si>
  <si>
    <t xml:space="preserve">v5.1 L3788</t>
  </si>
  <si>
    <t xml:space="preserve">R-0583</t>
  </si>
  <si>
    <t xml:space="preserve">Step 9: Document everything. Per Database step. An investigation undocumented is repeated at full cost.</t>
  </si>
  <si>
    <t xml:space="preserve">v5.1 L3790</t>
  </si>
  <si>
    <t xml:space="preserve">R-0584</t>
  </si>
  <si>
    <t xml:space="preserve">Step 10: Per Repetition: each investigation is informed by all prior. Per the Capsule: every failed line of inquiry contributed to current methodology.</t>
  </si>
  <si>
    <t xml:space="preserve">v5.1 L3792</t>
  </si>
  <si>
    <t xml:space="preserve">R-0585</t>
  </si>
  <si>
    <t xml:space="preserve">ALG:Public Speaking Algorithm</t>
  </si>
  <si>
    <t xml:space="preserve">Step 1: Identify the audience’s frequency. Per Vibration: speak at their frequency before shifting to yours. Mismatch in opening produces resistance regardless of content.</t>
  </si>
  <si>
    <t xml:space="preserve">Public Speaking Algorithm</t>
  </si>
  <si>
    <t xml:space="preserve">v5.1 L3802</t>
  </si>
  <si>
    <t xml:space="preserve">Per talk</t>
  </si>
  <si>
    <t xml:space="preserve">R-0586</t>
  </si>
  <si>
    <t xml:space="preserve">Step 2: State the gradient. From what current state to what desired state will you transition the audience?</t>
  </si>
  <si>
    <t xml:space="preserve">v5.1 L3804</t>
  </si>
  <si>
    <t xml:space="preserve">R-0587</t>
  </si>
  <si>
    <t xml:space="preserve">Step 3: Apply the Direct step. Open with a clear statement of what the audience will leave with.</t>
  </si>
  <si>
    <t xml:space="preserve">v5.1 L3806</t>
  </si>
  <si>
    <t xml:space="preserve">R-0588</t>
  </si>
  <si>
    <t xml:space="preserve">Step 4: Apply Process Density. Enough density to carry meaning, not so much the audience overflows. Per Pillar II (Complexity) at speaking scale: simplification beyond a point destroys meaning; density beyond a point dissipates it.</t>
  </si>
  <si>
    <t xml:space="preserve">v5.1 L3808</t>
  </si>
  <si>
    <t xml:space="preserve">R-0589</t>
  </si>
  <si>
    <t xml:space="preserve">Step 5: Apply Rhythm. Speech has natural cadence. Fight it and audience attention drops; honor it and attention sustains.</t>
  </si>
  <si>
    <t xml:space="preserve">v5.1 L3810</t>
  </si>
  <si>
    <t xml:space="preserve">R-0590</t>
  </si>
  <si>
    <t xml:space="preserve">Step 6: Apply Polarity. Objections and resistance are same-axis variations of agreement. Acknowledge them; do not fight them.</t>
  </si>
  <si>
    <t xml:space="preserve">v5.1 L3812</t>
  </si>
  <si>
    <t xml:space="preserve">R-0591</t>
  </si>
  <si>
    <t xml:space="preserve">Step 7: Per Cause and Effect: end by setting a specific cause. What action does the audience leave prepared to take?</t>
  </si>
  <si>
    <t xml:space="preserve">v5.1 L3814</t>
  </si>
  <si>
    <t xml:space="preserve">R-0592</t>
  </si>
  <si>
    <t xml:space="preserve">Step 8: Document patterns that worked. Per Database step. Speaking improves through deliberate review of recorded performance.</t>
  </si>
  <si>
    <t xml:space="preserve">v5.1 L3816</t>
  </si>
  <si>
    <t xml:space="preserve">R-0593</t>
  </si>
  <si>
    <t xml:space="preserve">ALG:Group Facilitation Algorithm</t>
  </si>
  <si>
    <t xml:space="preserve">Step 1: Identify the group’s current Three Kingdoms alignment. Where is the group operating from? Reactive (First), structured (Second), or vision-aligned (Third)?</t>
  </si>
  <si>
    <t xml:space="preserve">v5.1 L3822</t>
  </si>
  <si>
    <t xml:space="preserve">Per meeting</t>
  </si>
  <si>
    <t xml:space="preserve">R-0594</t>
  </si>
  <si>
    <t xml:space="preserve">Step 2: Identify the gradient the group is being asked to channel. From what current state to what desired group state?</t>
  </si>
  <si>
    <t xml:space="preserve">v5.1 L3824</t>
  </si>
  <si>
    <t xml:space="preserve">R-0595</t>
  </si>
  <si>
    <t xml:space="preserve">Step 3: Apply Vibration. Match the group’s frequency before shifting it. Forcing pace ahead of group frequency produces resistance.</t>
  </si>
  <si>
    <t xml:space="preserve">v5.1 L3826</t>
  </si>
  <si>
    <t xml:space="preserve">R-0596</t>
  </si>
  <si>
    <t xml:space="preserve">Step 4: Apply Layer I.D. Locate the dynamic middle of group energy — active enough to engage, calm enough to think. Adjust as conditions shift.</t>
  </si>
  <si>
    <t xml:space="preserve">v5.1 L3828</t>
  </si>
  <si>
    <t xml:space="preserve">R-0597</t>
  </si>
  <si>
    <t xml:space="preserve">Step 5: Apply Gender. Project clear structure (Masculine) while leaving space for participant contribution (Feminine). Both must be present.</t>
  </si>
  <si>
    <t xml:space="preserve">v5.1 L3830</t>
  </si>
  <si>
    <t xml:space="preserve">R-0598</t>
  </si>
  <si>
    <t xml:space="preserve">Step 6: Apply Process Density. Sufficient prompts and frames to organize thought, not so many that contribution is suppressed.</t>
  </si>
  <si>
    <t xml:space="preserve">v5.1 L3832</t>
  </si>
  <si>
    <t xml:space="preserve">R-0599</t>
  </si>
  <si>
    <t xml:space="preserve">Step 7: Per Cause and Effect: set explicit causes for behavior you want. Implicit causes produce inconsistent behavior.</t>
  </si>
  <si>
    <t xml:space="preserve">v5.1 L3834</t>
  </si>
  <si>
    <t xml:space="preserve">R-0600</t>
  </si>
  <si>
    <t xml:space="preserve">Step 8: Document outcomes per Database step. Group facilitation improves through deliberate review of which interventions produced which shifts.</t>
  </si>
  <si>
    <t xml:space="preserve">v5.1 L3836</t>
  </si>
  <si>
    <t xml:space="preserve">R-0601</t>
  </si>
  <si>
    <t xml:space="preserve">ALG:Influence Algorithm</t>
  </si>
  <si>
    <t xml:space="preserve">Step 1: Identify what shift in the other party you are trying to produce. Be specific. “Change their mind” is too vague.</t>
  </si>
  <si>
    <t xml:space="preserve">Influence Algorithm</t>
  </si>
  <si>
    <t xml:space="preserve">v5.1 L3842</t>
  </si>
  <si>
    <t xml:space="preserve">Per influence goal</t>
  </si>
  <si>
    <t xml:space="preserve">R-0602</t>
  </si>
  <si>
    <t xml:space="preserve">Step 2: Identify the gradient between their current state and the desired state.</t>
  </si>
  <si>
    <t xml:space="preserve">v5.1 L3844</t>
  </si>
  <si>
    <t xml:space="preserve">R-0603</t>
  </si>
  <si>
    <t xml:space="preserve">Step 3: Per Vibration: match their frequency before introducing change. Mismatch in opening eliminates influence regardless of argument.</t>
  </si>
  <si>
    <t xml:space="preserve">v5.1 L3846</t>
  </si>
  <si>
    <t xml:space="preserve">R-0604</t>
  </si>
  <si>
    <t xml:space="preserve">Step 4: Per Polarity: their objection is on the same axis as your position. Find the shared axis; transmute degree, do not eliminate the pole.</t>
  </si>
  <si>
    <t xml:space="preserve">v5.1 L3848</t>
  </si>
  <si>
    <t xml:space="preserve">R-0605</t>
  </si>
  <si>
    <t xml:space="preserve">Step 5: Per Mentalism: locate their Third Kingdom. What identity, vision, or value is anchoring their current position? Influence at that level.</t>
  </si>
  <si>
    <t xml:space="preserve">v5.1 L3850</t>
  </si>
  <si>
    <t xml:space="preserve">R-0606</t>
  </si>
  <si>
    <t xml:space="preserve">Step 6: Per Cause and Effect: identify which causes you can set. Direct argument is one cause; demonstration is another; environmental change is another. Choose the most effective.</t>
  </si>
  <si>
    <t xml:space="preserve">v5.1 L3852</t>
  </si>
  <si>
    <t xml:space="preserve">R-0607</t>
  </si>
  <si>
    <t xml:space="preserve">Step 7: Per Rhythm: influence often requires multiple cycles. The first cycle establishes; subsequent cycles compound.</t>
  </si>
  <si>
    <t xml:space="preserve">v5.1 L3854</t>
  </si>
  <si>
    <t xml:space="preserve">R-0608</t>
  </si>
  <si>
    <t xml:space="preserve">Step 8: Per Variable Principle: hold open whether the influence will succeed. Forcing influence damages relationship and reduces future influence capacity.</t>
  </si>
  <si>
    <t xml:space="preserve">v5.1 L3856</t>
  </si>
  <si>
    <t xml:space="preserve">R-0609</t>
  </si>
  <si>
    <t xml:space="preserve">Step 9: Document the influence patterns that work. Per Database step.</t>
  </si>
  <si>
    <t xml:space="preserve">v5.1 L3858</t>
  </si>
  <si>
    <t xml:space="preserve">R-0610</t>
  </si>
  <si>
    <t xml:space="preserve">ALG:Meditation Practice Algorithm</t>
  </si>
  <si>
    <t xml:space="preserve">Step 1: Identify the practice’s purpose. Concentration, insight, devotional, contemplative, integration. Different purposes use different methods; mismatched purpose-method pairing wastes time.</t>
  </si>
  <si>
    <t xml:space="preserve">Meditation Practice Algorithm</t>
  </si>
  <si>
    <t xml:space="preserve">v5.1 L3868</t>
  </si>
  <si>
    <t xml:space="preserve">R-0611</t>
  </si>
  <si>
    <t xml:space="preserve">Step 2: Establish the physical conditions. First Kingdom: posture, location, time, environment. Without First Kingdom support, Second and Third Kingdom work struggles.</t>
  </si>
  <si>
    <t xml:space="preserve">v5.1 L3870</t>
  </si>
  <si>
    <t xml:space="preserve">R-0612</t>
  </si>
  <si>
    <t xml:space="preserve">Step 3: Apply Yin/Yang. Meditation is predominantly Yin (receptive, internal). Forcing Yang during practice (achievement-orientation, performance) blocks the practice.</t>
  </si>
  <si>
    <t xml:space="preserve">v5.1 L3872</t>
  </si>
  <si>
    <t xml:space="preserve">R-0613</t>
  </si>
  <si>
    <t xml:space="preserve">Step 4: Apply Process Density at human scale. Sufficient time-density per session to cross threshold. Below threshold: no shift. At threshold: insight emerges.</t>
  </si>
  <si>
    <t xml:space="preserve">v5.1 L3874</t>
  </si>
  <si>
    <t xml:space="preserve">R-0614</t>
  </si>
  <si>
    <t xml:space="preserve">Step 5: Apply Rhythm. Daily practice compounds; weekly does not. Frequency matters more than duration.</t>
  </si>
  <si>
    <t xml:space="preserve">v5.1 L3876</t>
  </si>
  <si>
    <t xml:space="preserve">R-0615</t>
  </si>
  <si>
    <t xml:space="preserve">Step 6: Apply Variable Principle to your own experience. Hold experiences open; do not interpret prematurely.</t>
  </si>
  <si>
    <t xml:space="preserve">v5.1 L3878</t>
  </si>
  <si>
    <t xml:space="preserve">R-0616</t>
  </si>
  <si>
    <t xml:space="preserve">Step 7: Per Layer I.G: every prior session integrates into capacity. Apparently “wasted” sessions contribute substrate.</t>
  </si>
  <si>
    <t xml:space="preserve">v5.1 L3880</t>
  </si>
  <si>
    <t xml:space="preserve">R-0617</t>
  </si>
  <si>
    <t xml:space="preserve">Step 8: Document insights without grasping them. Per Database step. Articulation prevents loss while attachment to articulation prevents further insight.</t>
  </si>
  <si>
    <t xml:space="preserve">v5.1 L3882</t>
  </si>
  <si>
    <t xml:space="preserve">R-0618</t>
  </si>
  <si>
    <t xml:space="preserve">Step 9: Per Repetition: each cycle compounds. Per Fibonacci: each session is informed by the prior two.</t>
  </si>
  <si>
    <t xml:space="preserve">v5.1 L3884</t>
  </si>
  <si>
    <t xml:space="preserve">R-0619</t>
  </si>
  <si>
    <t xml:space="preserve">ALG:Ritual Design Algorithm</t>
  </si>
  <si>
    <t xml:space="preserve">Step 1: Identify what the ritual is for. What state transition does it produce? What gradient does it channel?</t>
  </si>
  <si>
    <t xml:space="preserve">Ritual Design Algorithm</t>
  </si>
  <si>
    <t xml:space="preserve">v5.1 L3890</t>
  </si>
  <si>
    <t xml:space="preserve">Per ritual</t>
  </si>
  <si>
    <t xml:space="preserve">R-0620</t>
  </si>
  <si>
    <t xml:space="preserve">Step 2: Per Three Kingdoms: rituals operate when all three Kingdoms are engaged. First Kingdom (specific physical actions). Second Kingdom (defined sequence and meaning). Third Kingdom (clear intent and presence).</t>
  </si>
  <si>
    <t xml:space="preserve">v5.1 L3892</t>
  </si>
  <si>
    <t xml:space="preserve">R-0621</t>
  </si>
  <si>
    <t xml:space="preserve">Step 3: Apply Vibration. The ritual’s frequency must match the participants’ capacity to receive it. Foreign-frequency rituals do not transmit.</t>
  </si>
  <si>
    <t xml:space="preserve">v5.1 L3894</t>
  </si>
  <si>
    <t xml:space="preserve">R-0622</t>
  </si>
  <si>
    <t xml:space="preserve">Step 4: Apply Rhythm. Rituals operate on cycles — daily, weekly, seasonal, life-stage. Choose the appropriate cycle.</t>
  </si>
  <si>
    <t xml:space="preserve">v5.1 L3896</t>
  </si>
  <si>
    <t xml:space="preserve">R-0623</t>
  </si>
  <si>
    <t xml:space="preserve">Step 5: Apply Process Density. Sufficient symbolic weight to mark the transition; not so much that the form overwhelms the substance.</t>
  </si>
  <si>
    <t xml:space="preserve">v5.1 L3898</t>
  </si>
  <si>
    <t xml:space="preserve">R-0624</t>
  </si>
  <si>
    <t xml:space="preserve">Step 6: Per Cause and Effect: rituals set causes. The cause must be specific enough that the effect is recognizable.</t>
  </si>
  <si>
    <t xml:space="preserve">v5.1 L3900</t>
  </si>
  <si>
    <t xml:space="preserve">R-0625</t>
  </si>
  <si>
    <t xml:space="preserve">Step 7: Per Repetition: rituals compound. The first instance is weaker than the hundredth. Per the Capsule: every prior performance is integrated.</t>
  </si>
  <si>
    <t xml:space="preserve">v5.1 L3902</t>
  </si>
  <si>
    <t xml:space="preserve">R-0626</t>
  </si>
  <si>
    <t xml:space="preserve">Step 8: Document the ritual’s structure. Per Database step. Rituals undocumented degrade across generations.</t>
  </si>
  <si>
    <t xml:space="preserve">v5.1 L3904</t>
  </si>
  <si>
    <t xml:space="preserve">R-0627</t>
  </si>
  <si>
    <t xml:space="preserve">ALG:Governance Design Algorithm</t>
  </si>
  <si>
    <t xml:space="preserve">Step 1: Identify the governing entity’s Third Kingdom. What is the entity actually for? Without clear founding intent, no governance design is correct.</t>
  </si>
  <si>
    <t xml:space="preserve">Governance Design Algorithm</t>
  </si>
  <si>
    <t xml:space="preserve">v5.1 L3914</t>
  </si>
  <si>
    <t xml:space="preserve">Multi-year; on structural change</t>
  </si>
  <si>
    <t xml:space="preserve">R-0628</t>
  </si>
  <si>
    <t xml:space="preserve">Step 2: Apply Layer I.B (Civil Infrastructure). The four pillars at civilizational scale: Correctness (sound process), Complexity (full scope), Patience (foundation before optimization), Resilience (no single point of failure).</t>
  </si>
  <si>
    <t xml:space="preserve">v5.1 L3916</t>
  </si>
  <si>
    <t xml:space="preserve">R-0629</t>
  </si>
  <si>
    <t xml:space="preserve">Step 3: Identify the gradients the governance will channel. Power gradient between governors and governed. Information gradient. Resource gradient. Decision gradient.</t>
  </si>
  <si>
    <t xml:space="preserve">v5.1 L3918</t>
  </si>
  <si>
    <t xml:space="preserve">R-0630</t>
  </si>
  <si>
    <t xml:space="preserve">Step 4: Apply Polarity. Liberty and order are same-axis. Authoritarianism and anarchy are extreme degrees of one axis. The dynamic middle is the structural answer; the extremes always collapse.</t>
  </si>
  <si>
    <t xml:space="preserve">v5.1 L3920</t>
  </si>
  <si>
    <t xml:space="preserve">R-0631</t>
  </si>
  <si>
    <t xml:space="preserve">Step 5: Apply Layer I.G. What prior governance experiments inform this design? Every collapsed civilization contributed information. Every functional one demonstrates patterns.</t>
  </si>
  <si>
    <t xml:space="preserve">v5.1 L3922</t>
  </si>
  <si>
    <t xml:space="preserve">R-0632</t>
  </si>
  <si>
    <t xml:space="preserve">Step 6: Apply Variable Principle. Hold every governance assumption as bounded. The 2008 example: ratings agencies filled assumed variables and produced systemic collapse.</t>
  </si>
  <si>
    <t xml:space="preserve">v5.1 L3924</t>
  </si>
  <si>
    <t xml:space="preserve">R-0633</t>
  </si>
  <si>
    <t xml:space="preserve">Step 7: State falsifiability. Under what conditions would this governance fail? Build mitigations for those conditions before they materialize.</t>
  </si>
  <si>
    <t xml:space="preserve">v5.1 L3926</t>
  </si>
  <si>
    <t xml:space="preserve">R-0634</t>
  </si>
  <si>
    <t xml:space="preserve">Step 8: Document the governance design. Per Database step. Constitutions are durable; verbal traditions degrade.</t>
  </si>
  <si>
    <t xml:space="preserve">v5.1 L3928</t>
  </si>
  <si>
    <t xml:space="preserve">R-0635</t>
  </si>
  <si>
    <t xml:space="preserve">Step 9: Per Repetition: governance reviews at longer cycles than business reviews. Quarterly is too fast; multi-year is appropriate.</t>
  </si>
  <si>
    <t xml:space="preserve">v5.1 L3930</t>
  </si>
  <si>
    <t xml:space="preserve">R-0636</t>
  </si>
  <si>
    <t xml:space="preserve">ALG:AI Alignment Algorithm</t>
  </si>
  <si>
    <t xml:space="preserve">Step 1: Identify the AI system’s Third Kingdom. What is the system actually for? Per Mentalism: misaligned First Kingdom (capability) with no clear Third Kingdom (purpose) produces unaligned outcomes regardless of technical sophistication.</t>
  </si>
  <si>
    <t xml:space="preserve">v5.1 L3936</t>
  </si>
  <si>
    <t xml:space="preserve">Every capability scale-up</t>
  </si>
  <si>
    <t xml:space="preserve">R-0637</t>
  </si>
  <si>
    <t xml:space="preserve">Step 2: Apply Three Kingdoms diagnosis. Third Kingdom (intent of designers and operators). Second Kingdom (training procedures, reward structures, value specifications). First Kingdom (deployed behavior). Misalignment between Kingdoms is the alignment problem.</t>
  </si>
  <si>
    <t xml:space="preserve">v5.1 L3938</t>
  </si>
  <si>
    <t xml:space="preserve">R-0638</t>
  </si>
  <si>
    <t xml:space="preserve">Step 3: Apply the Variable Principle to AI capabilities. Held-open variables include: goal generalization, deceptive alignment, instrumental convergence, mesa-optimization, distribution shift. Each must be held open and bounded; not filled with confident assumption.</t>
  </si>
  <si>
    <t xml:space="preserve">v5.1 L3940</t>
  </si>
  <si>
    <t xml:space="preserve">R-0639</t>
  </si>
  <si>
    <t xml:space="preserve">Step 4: Apply Layer I.F (Multi-Level Observation). What is observed is what continues. Build observation at multiple levels: training-time, deployment-time, capability-elicitation, edge cases.</t>
  </si>
  <si>
    <t xml:space="preserve">v5.1 L3942</t>
  </si>
  <si>
    <t xml:space="preserve">R-0640</t>
  </si>
  <si>
    <t xml:space="preserve">Step 5: Apply Layer ◇ (Falsifiability) ruthlessly. What observation would prove the AI is misaligned? Build instrumentation for that observation before deployment.</t>
  </si>
  <si>
    <t xml:space="preserve">v5.1 L3944</t>
  </si>
  <si>
    <t xml:space="preserve">R-0641</t>
  </si>
  <si>
    <t xml:space="preserve">Step 6: Apply Pillar IV (Resilience). What is the downgrade path if the AI fails dangerously? Per Texas Grid: an AI system with no fallback is a Texas grid at civilizational scale.</t>
  </si>
  <si>
    <t xml:space="preserve">v5.1 L3946</t>
  </si>
  <si>
    <t xml:space="preserve">R-0642</t>
  </si>
  <si>
    <t xml:space="preserve">Step 7: Apply Cause and Effect. Causes set in training produce effects in deployment. Trace cause-to-effect with maximum rigor.</t>
  </si>
  <si>
    <t xml:space="preserve">v5.1 L3948</t>
  </si>
  <si>
    <t xml:space="preserve">R-0643</t>
  </si>
  <si>
    <t xml:space="preserve">Step 8: Per Layer I.G: integrate prior alignment failures and successes. Each iteration of alignment work informs the next.</t>
  </si>
  <si>
    <t xml:space="preserve">v5.1 L3950</t>
  </si>
  <si>
    <t xml:space="preserve">R-0644</t>
  </si>
  <si>
    <t xml:space="preserve">Step 9: Document everything. Per Database step. AI alignment is not improvable without deliberate documentation of attempts, outcomes, and reasoning.</t>
  </si>
  <si>
    <t xml:space="preserve">v5.1 L3952</t>
  </si>
  <si>
    <t xml:space="preserve">R-0645</t>
  </si>
  <si>
    <t xml:space="preserve">Step 10: Per Repetition: alignment is not a one-time event. Continuous review at every capability scale-up.</t>
  </si>
  <si>
    <t xml:space="preserve">v5.1 L3954</t>
  </si>
  <si>
    <t xml:space="preserve">R-0646</t>
  </si>
  <si>
    <t xml:space="preserve">ALG:Movement Building Algorithm</t>
  </si>
  <si>
    <t xml:space="preserve">Step 1: Identify the founding signal. What core recognition or commitment is the movement built around? Per Domain 2 (Religious Process): every movement has a founding signal that codifies into doctrine.</t>
  </si>
  <si>
    <t xml:space="preserve">Movement Building Algorithm</t>
  </si>
  <si>
    <t xml:space="preserve">v5.1 L3960</t>
  </si>
  <si>
    <t xml:space="preserve">Per cycle</t>
  </si>
  <si>
    <t xml:space="preserve">R-0647</t>
  </si>
  <si>
    <t xml:space="preserve">Step 2: Identify the gradient. Movements channel a gradient between current state of the world and the world the movement seeks to bring forth.</t>
  </si>
  <si>
    <t xml:space="preserve">v5.1 L3962</t>
  </si>
  <si>
    <t xml:space="preserve">R-0648</t>
  </si>
  <si>
    <t xml:space="preserve">Step 3: Apply Vibration. The movement resonates at a specific frequency. Frequency-matched participants are the natural movement; forced expansion to mismatched audiences dissipates the signal.</t>
  </si>
  <si>
    <t xml:space="preserve">v5.1 L3964</t>
  </si>
  <si>
    <t xml:space="preserve">R-0649</t>
  </si>
  <si>
    <t xml:space="preserve">Step 4: Apply Process Density. Enough density of shared identity, practice, and language to crystallize; not so much that the movement closes to outsiders.</t>
  </si>
  <si>
    <t xml:space="preserve">v5.1 L3966</t>
  </si>
  <si>
    <t xml:space="preserve">R-0650</t>
  </si>
  <si>
    <t xml:space="preserve">Step 5: Apply Five Modes of Propagation (Layer IV). Direct teaching, demonstration, documentation, system-building, cultural embedding. Movements that use only some modes do not propagate fully.</t>
  </si>
  <si>
    <t xml:space="preserve">v5.1 L3968</t>
  </si>
  <si>
    <t xml:space="preserve">R-0651</t>
  </si>
  <si>
    <t xml:space="preserve">Step 6: Apply Layer I.G. Prior movements’ successes and failures inform the current. Every collapsed movement contributed information.</t>
  </si>
  <si>
    <t xml:space="preserve">v5.1 L3970</t>
  </si>
  <si>
    <t xml:space="preserve">R-0652</t>
  </si>
  <si>
    <t xml:space="preserve">Step 7: Apply Pillar II (Complexity). Oversimplification creates the gaps that become predictable failure points. Honor the full complexity of what the movement requires.</t>
  </si>
  <si>
    <t xml:space="preserve">v5.1 L3972</t>
  </si>
  <si>
    <t xml:space="preserve">R-0653</t>
  </si>
  <si>
    <t xml:space="preserve">Step 8: Document the movement’s articulation. Per Database step. Movements that exist only in spoken tradition degrade across generations.</t>
  </si>
  <si>
    <t xml:space="preserve">v5.1 L3974</t>
  </si>
  <si>
    <t xml:space="preserve">R-0654</t>
  </si>
  <si>
    <t xml:space="preserve">Step 9: Per Repetition: movements compound through cycles of recognition, propagation, integration.</t>
  </si>
  <si>
    <t xml:space="preserve">v5.1 L3976</t>
  </si>
  <si>
    <t xml:space="preserve">R-0655</t>
  </si>
  <si>
    <t xml:space="preserve">ALG:Ecological Restoration Algorithm</t>
  </si>
  <si>
    <t xml:space="preserve">Step 1: Identify the ecosystem’s baseline functional state. What did this system look like when it was functioning?</t>
  </si>
  <si>
    <t xml:space="preserve">Ecological Restoration Algorithm</t>
  </si>
  <si>
    <t xml:space="preserve">v5.1 L3982</t>
  </si>
  <si>
    <t xml:space="preserve">R-0656</t>
  </si>
  <si>
    <t xml:space="preserve">Step 2: Apply Three Kingdoms to the ecosystem. First Kingdom (physical substrate, soil, water, organisms). Second Kingdom (relationships, food webs, succession patterns). Third Kingdom (the ecosystem’s integrated functional identity).</t>
  </si>
  <si>
    <t xml:space="preserve">v5.1 L3984</t>
  </si>
  <si>
    <t xml:space="preserve">R-0657</t>
  </si>
  <si>
    <t xml:space="preserve">Step 3: Identify the gradient. Current degraded state → functional state. The restoration channels this gradient.</t>
  </si>
  <si>
    <t xml:space="preserve">v5.1 L3986</t>
  </si>
  <si>
    <t xml:space="preserve">R-0658</t>
  </si>
  <si>
    <t xml:space="preserve">Step 4: Apply Layer I.G. What prior ecological succession patterns exist for this region? Per the Capsule: every prior cycle contributed information that the current ecosystem is constituted by.</t>
  </si>
  <si>
    <t xml:space="preserve">v5.1 L3988</t>
  </si>
  <si>
    <t xml:space="preserve">R-0659</t>
  </si>
  <si>
    <t xml:space="preserve">Step 5: Apply Pillar III (Patience). Ecological time scales are slow. Force the timeline and you produce non-functional restoration.</t>
  </si>
  <si>
    <t xml:space="preserve">v5.1 L3990</t>
  </si>
  <si>
    <t xml:space="preserve">R-0660</t>
  </si>
  <si>
    <t xml:space="preserve">Step 6: Apply Process Density. Below threshold: insufficient species and connections, no functional ecosystem. At threshold: emergence. Above threshold: brittle monoculture.</t>
  </si>
  <si>
    <t xml:space="preserve">v5.1 L3992</t>
  </si>
  <si>
    <t xml:space="preserve">R-0661</t>
  </si>
  <si>
    <t xml:space="preserve">Step 7: Establish observation per Layer I.F. Track populations, water, soil chemistry, succession. What is unobserved degrades silently.</t>
  </si>
  <si>
    <t xml:space="preserve">v5.1 L3994</t>
  </si>
  <si>
    <t xml:space="preserve">R-0662</t>
  </si>
  <si>
    <t xml:space="preserve">Step 8: Per Repetition: ecological restoration compounds across years and decades. The first cycle’s baseline informs the next.</t>
  </si>
  <si>
    <t xml:space="preserve">v5.1 L3996</t>
  </si>
  <si>
    <t xml:space="preserve">R-0663</t>
  </si>
  <si>
    <t xml:space="preserve">DEPT:STR:Vision</t>
  </si>
  <si>
    <t xml:space="preserve">Own the 'Vision' function of the 1 · Strategy Hub (Constitution + founding law).</t>
  </si>
  <si>
    <t xml:space="preserve">Canon table / protocol</t>
  </si>
  <si>
    <t xml:space="preserve">Nine Departments map — primary function</t>
  </si>
  <si>
    <t xml:space="preserve">v5.1 L1378</t>
  </si>
  <si>
    <t xml:space="preserve">Function performing; evidence for hub BEAS row</t>
  </si>
  <si>
    <t xml:space="preserve">Canon table</t>
  </si>
  <si>
    <t xml:space="preserve">R-0664</t>
  </si>
  <si>
    <t xml:space="preserve">DEPT:STR:Mission</t>
  </si>
  <si>
    <t xml:space="preserve">Own the 'Mission' function of the 1 · Strategy Hub (Constitution + founding law).</t>
  </si>
  <si>
    <t xml:space="preserve">R-0665</t>
  </si>
  <si>
    <t xml:space="preserve">DEPT:STR:Values</t>
  </si>
  <si>
    <t xml:space="preserve">Own the 'Values' function of the 1 · Strategy Hub (Constitution + founding law).</t>
  </si>
  <si>
    <t xml:space="preserve">R-0666</t>
  </si>
  <si>
    <t xml:space="preserve">DEPT:STR:Governing principles</t>
  </si>
  <si>
    <t xml:space="preserve">Own the 'Governing principles' function of the 1 · Strategy Hub (Constitution + founding law).</t>
  </si>
  <si>
    <t xml:space="preserve">R-0667</t>
  </si>
  <si>
    <t xml:space="preserve">DEPT:STR:Quarterly direction</t>
  </si>
  <si>
    <t xml:space="preserve">Own the 'Quarterly direction' function of the 1 · Strategy Hub (Constitution + founding law).</t>
  </si>
  <si>
    <t xml:space="preserve">R-0668</t>
  </si>
  <si>
    <t xml:space="preserve">DEPT:STR:Competitive positioning</t>
  </si>
  <si>
    <t xml:space="preserve">Own the 'Competitive positioning' function of the 1 · Strategy Hub (Constitution + founding law).</t>
  </si>
  <si>
    <t xml:space="preserve">R-0669</t>
  </si>
  <si>
    <t xml:space="preserve">DEPT:STR:BEAS-row</t>
  </si>
  <si>
    <t xml:space="preserve">Self-score the 1 · Strategy Hub on Correctness, Complexity, Patience, Resilience (0 / 0.5 / 1 each) with evidence, and score coordination with the other eight hubs (0–1).</t>
  </si>
  <si>
    <t xml:space="preserve">BEAS Scoring Instructions</t>
  </si>
  <si>
    <t xml:space="preserve">v5.1 L1396–1404</t>
  </si>
  <si>
    <t xml:space="preserve">BEAS cycle</t>
  </si>
  <si>
    <t xml:space="preserve">Hub row submitted to O-04</t>
  </si>
  <si>
    <t xml:space="preserve">Evidence sign-off</t>
  </si>
  <si>
    <t xml:space="preserve">R-0670</t>
  </si>
  <si>
    <t xml:space="preserve">DEPT:MKT:Lead generation</t>
  </si>
  <si>
    <t xml:space="preserve">Own the 'Lead generation' function of the 2 · Marketing Hub (Roads + traffic systems).</t>
  </si>
  <si>
    <t xml:space="preserve">v5.1 L1379</t>
  </si>
  <si>
    <t xml:space="preserve">R-0671</t>
  </si>
  <si>
    <t xml:space="preserve">DEPT:MKT:Traffic</t>
  </si>
  <si>
    <t xml:space="preserve">Own the 'Traffic' function of the 2 · Marketing Hub (Roads + traffic systems).</t>
  </si>
  <si>
    <t xml:space="preserve">R-0672</t>
  </si>
  <si>
    <t xml:space="preserve">DEPT:MKT:Attention</t>
  </si>
  <si>
    <t xml:space="preserve">Own the 'Attention' function of the 2 · Marketing Hub (Roads + traffic systems).</t>
  </si>
  <si>
    <t xml:space="preserve">R-0673</t>
  </si>
  <si>
    <t xml:space="preserve">DEPT:MKT:Brand awareness</t>
  </si>
  <si>
    <t xml:space="preserve">Own the 'Brand awareness' function of the 2 · Marketing Hub (Roads + traffic systems).</t>
  </si>
  <si>
    <t xml:space="preserve">R-0674</t>
  </si>
  <si>
    <t xml:space="preserve">DEPT:MKT:Content distribution</t>
  </si>
  <si>
    <t xml:space="preserve">Own the 'Content distribution' function of the 2 · Marketing Hub (Roads + traffic systems).</t>
  </si>
  <si>
    <t xml:space="preserve">R-0675</t>
  </si>
  <si>
    <t xml:space="preserve">DEPT:MKT:BEAS-row</t>
  </si>
  <si>
    <t xml:space="preserve">Self-score the 2 · Marketing Hub on Correctness, Complexity, Patience, Resilience (0 / 0.5 / 1 each) with evidence, and score coordination with the other eight hubs (0–1).</t>
  </si>
  <si>
    <t xml:space="preserve">R-0676</t>
  </si>
  <si>
    <t xml:space="preserve">DEPT:SAL:Offer architecture</t>
  </si>
  <si>
    <t xml:space="preserve">Own the 'Offer architecture' function of the 3 · Sales Hub (Markets + commerce).</t>
  </si>
  <si>
    <t xml:space="preserve">v5.1 L1380</t>
  </si>
  <si>
    <t xml:space="preserve">R-0677</t>
  </si>
  <si>
    <t xml:space="preserve">DEPT:SAL:Pipeline</t>
  </si>
  <si>
    <t xml:space="preserve">Own the 'Pipeline' function of the 3 · Sales Hub (Markets + commerce).</t>
  </si>
  <si>
    <t xml:space="preserve">R-0678</t>
  </si>
  <si>
    <t xml:space="preserve">DEPT:SAL:Sales scripts</t>
  </si>
  <si>
    <t xml:space="preserve">Own the 'Sales scripts' function of the 3 · Sales Hub (Markets + commerce).</t>
  </si>
  <si>
    <t xml:space="preserve">R-0679</t>
  </si>
  <si>
    <t xml:space="preserve">DEPT:SAL:ACE System</t>
  </si>
  <si>
    <t xml:space="preserve">Own the 'ACE System' function of the 3 · Sales Hub (Markets + commerce).</t>
  </si>
  <si>
    <t xml:space="preserve">R-0680</t>
  </si>
  <si>
    <t xml:space="preserve">DEPT:SAL:Revenue generation</t>
  </si>
  <si>
    <t xml:space="preserve">Own the 'Revenue generation' function of the 3 · Sales Hub (Markets + commerce).</t>
  </si>
  <si>
    <t xml:space="preserve">R-0681</t>
  </si>
  <si>
    <t xml:space="preserve">DEPT:SAL:BEAS-row</t>
  </si>
  <si>
    <t xml:space="preserve">Self-score the 3 · Sales Hub on Correctness, Complexity, Patience, Resilience (0 / 0.5 / 1 each) with evidence, and score coordination with the other eight hubs (0–1).</t>
  </si>
  <si>
    <t xml:space="preserve">R-0682</t>
  </si>
  <si>
    <t xml:space="preserve">DEPT:OPS:Fulfillment</t>
  </si>
  <si>
    <t xml:space="preserve">Own the 'Fulfillment' function of the 4 · Operations Hub (Utilities + supply chain).</t>
  </si>
  <si>
    <t xml:space="preserve">R-0683</t>
  </si>
  <si>
    <t xml:space="preserve">DEPT:OPS:Delivery</t>
  </si>
  <si>
    <t xml:space="preserve">Own the 'Delivery' function of the 4 · Operations Hub (Utilities + supply chain).</t>
  </si>
  <si>
    <t xml:space="preserve">R-0684</t>
  </si>
  <si>
    <t xml:space="preserve">DEPT:OPS:Quality control</t>
  </si>
  <si>
    <t xml:space="preserve">Own the 'Quality control' function of the 4 · Operations Hub (Utilities + supply chain).</t>
  </si>
  <si>
    <t xml:space="preserve">R-0685</t>
  </si>
  <si>
    <t xml:space="preserve">DEPT:OPS:Project management</t>
  </si>
  <si>
    <t xml:space="preserve">Own the 'Project management' function of the 4 · Operations Hub (Utilities + supply chain).</t>
  </si>
  <si>
    <t xml:space="preserve">R-0686</t>
  </si>
  <si>
    <t xml:space="preserve">DEPT:OPS:BEAS-row</t>
  </si>
  <si>
    <t xml:space="preserve">Self-score the 4 · Operations Hub on Correctness, Complexity, Patience, Resilience (0 / 0.5 / 1 each) with evidence, and score coordination with the other eight hubs (0–1).</t>
  </si>
  <si>
    <t xml:space="preserve">R-0687</t>
  </si>
  <si>
    <t xml:space="preserve">DEPT:FIN:Capital management</t>
  </si>
  <si>
    <t xml:space="preserve">Own the 'Capital management' function of the 5 · Finance Hub (Treasury + banking).</t>
  </si>
  <si>
    <t xml:space="preserve">R-0688</t>
  </si>
  <si>
    <t xml:space="preserve">DEPT:FIN:Budgeting</t>
  </si>
  <si>
    <t xml:space="preserve">Own the 'Budgeting' function of the 5 · Finance Hub (Treasury + banking).</t>
  </si>
  <si>
    <t xml:space="preserve">R-0689</t>
  </si>
  <si>
    <t xml:space="preserve">DEPT:FIN:Forecasting</t>
  </si>
  <si>
    <t xml:space="preserve">Own the 'Forecasting' function of the 5 · Finance Hub (Treasury + banking).</t>
  </si>
  <si>
    <t xml:space="preserve">R-0690</t>
  </si>
  <si>
    <t xml:space="preserve">DEPT:FIN:Reporting</t>
  </si>
  <si>
    <t xml:space="preserve">Own the 'Reporting' function of the 5 · Finance Hub (Treasury + banking).</t>
  </si>
  <si>
    <t xml:space="preserve">R-0691</t>
  </si>
  <si>
    <t xml:space="preserve">DEPT:FIN:Commission</t>
  </si>
  <si>
    <t xml:space="preserve">Own the 'Commission' function of the 5 · Finance Hub (Treasury + banking).</t>
  </si>
  <si>
    <t xml:space="preserve">R-0692</t>
  </si>
  <si>
    <t xml:space="preserve">DEPT:FIN:Pricing</t>
  </si>
  <si>
    <t xml:space="preserve">Own the 'Pricing' function of the 5 · Finance Hub (Treasury + banking).</t>
  </si>
  <si>
    <t xml:space="preserve">R-0693</t>
  </si>
  <si>
    <t xml:space="preserve">DEPT:FIN:BEAS-row</t>
  </si>
  <si>
    <t xml:space="preserve">Self-score the 5 · Finance Hub on Correctness, Complexity, Patience, Resilience (0 / 0.5 / 1 each) with evidence, and score coordination with the other eight hubs (0–1).</t>
  </si>
  <si>
    <t xml:space="preserve">R-0694</t>
  </si>
  <si>
    <t xml:space="preserve">DEPT:HRC:Hiring</t>
  </si>
  <si>
    <t xml:space="preserve">Own the 'Hiring' function of the 6 · HR &amp; Culture Hub (Courts + labor institutions).</t>
  </si>
  <si>
    <t xml:space="preserve">R-0695</t>
  </si>
  <si>
    <t xml:space="preserve">DEPT:HRC:Onboarding</t>
  </si>
  <si>
    <t xml:space="preserve">Own the 'Onboarding' function of the 6 · HR &amp; Culture Hub (Courts + labor institutions).</t>
  </si>
  <si>
    <t xml:space="preserve">R-0696</t>
  </si>
  <si>
    <t xml:space="preserve">DEPT:HRC:Performance</t>
  </si>
  <si>
    <t xml:space="preserve">Own the 'Performance' function of the 6 · HR &amp; Culture Hub (Courts + labor institutions).</t>
  </si>
  <si>
    <t xml:space="preserve">R-0697</t>
  </si>
  <si>
    <t xml:space="preserve">DEPT:HRC:Culture</t>
  </si>
  <si>
    <t xml:space="preserve">Own the 'Culture' function of the 6 · HR &amp; Culture Hub (Courts + labor institutions).</t>
  </si>
  <si>
    <t xml:space="preserve">R-0698</t>
  </si>
  <si>
    <t xml:space="preserve">DEPT:HRC:Compensation</t>
  </si>
  <si>
    <t xml:space="preserve">Own the 'Compensation' function of the 6 · HR &amp; Culture Hub (Courts + labor institutions).</t>
  </si>
  <si>
    <t xml:space="preserve">R-0699</t>
  </si>
  <si>
    <t xml:space="preserve">DEPT:HRC:Org design</t>
  </si>
  <si>
    <t xml:space="preserve">Own the 'Org design' function of the 6 · HR &amp; Culture Hub (Courts + labor institutions).</t>
  </si>
  <si>
    <t xml:space="preserve">R-0700</t>
  </si>
  <si>
    <t xml:space="preserve">DEPT:HRC:BEAS-row</t>
  </si>
  <si>
    <t xml:space="preserve">Self-score the 6 · HR &amp; Culture Hub on Correctness, Complexity, Patience, Resilience (0 / 0.5 / 1 each) with evidence, and score coordination with the other eight hubs (0–1).</t>
  </si>
  <si>
    <t xml:space="preserve">R-0701</t>
  </si>
  <si>
    <t xml:space="preserve">DEPT:TEC:Platform architecture</t>
  </si>
  <si>
    <t xml:space="preserve">Own the 'Platform architecture' function of the 7 · Technology Hub (Communications network).</t>
  </si>
  <si>
    <t xml:space="preserve">R-0702</t>
  </si>
  <si>
    <t xml:space="preserve">DEPT:TEC:Automation (n8n)</t>
  </si>
  <si>
    <t xml:space="preserve">Own the 'Automation (n8n)' function of the 7 · Technology Hub (Communications network).</t>
  </si>
  <si>
    <t xml:space="preserve">R-0703</t>
  </si>
  <si>
    <t xml:space="preserve">DEPT:TEC:CRM (GHL)</t>
  </si>
  <si>
    <t xml:space="preserve">Own the 'CRM (GHL)' function of the 7 · Technology Hub (Communications network).</t>
  </si>
  <si>
    <t xml:space="preserve">R-0704</t>
  </si>
  <si>
    <t xml:space="preserve">DEPT:TEC:Integrations</t>
  </si>
  <si>
    <t xml:space="preserve">Own the 'Integrations' function of the 7 · Technology Hub (Communications network).</t>
  </si>
  <si>
    <t xml:space="preserve">R-0705</t>
  </si>
  <si>
    <t xml:space="preserve">DEPT:TEC:AI</t>
  </si>
  <si>
    <t xml:space="preserve">Own the 'AI' function of the 7 · Technology Hub (Communications network).</t>
  </si>
  <si>
    <t xml:space="preserve">R-0706</t>
  </si>
  <si>
    <t xml:space="preserve">DEPT:TEC:Security</t>
  </si>
  <si>
    <t xml:space="preserve">Own the 'Security' function of the 7 · Technology Hub (Communications network).</t>
  </si>
  <si>
    <t xml:space="preserve">R-0707</t>
  </si>
  <si>
    <t xml:space="preserve">DEPT:TEC:BEAS-row</t>
  </si>
  <si>
    <t xml:space="preserve">Self-score the 7 · Technology Hub on Correctness, Complexity, Patience, Resilience (0 / 0.5 / 1 each) with evidence, and score coordination with the other eight hubs (0–1).</t>
  </si>
  <si>
    <t xml:space="preserve">R-0708</t>
  </si>
  <si>
    <t xml:space="preserve">DEPT:CS:Onboarding</t>
  </si>
  <si>
    <t xml:space="preserve">Own the 'Onboarding' function of the 8 · Client Success Hub (Public services + emergency).</t>
  </si>
  <si>
    <t xml:space="preserve">R-0709</t>
  </si>
  <si>
    <t xml:space="preserve">DEPT:CS:Support</t>
  </si>
  <si>
    <t xml:space="preserve">Own the 'Support' function of the 8 · Client Success Hub (Public services + emergency).</t>
  </si>
  <si>
    <t xml:space="preserve">R-0710</t>
  </si>
  <si>
    <t xml:space="preserve">DEPT:CS:Account management</t>
  </si>
  <si>
    <t xml:space="preserve">Own the 'Account management' function of the 8 · Client Success Hub (Public services + emergency).</t>
  </si>
  <si>
    <t xml:space="preserve">R-0711</t>
  </si>
  <si>
    <t xml:space="preserve">DEPT:CS:NPS</t>
  </si>
  <si>
    <t xml:space="preserve">Own the 'NPS' function of the 8 · Client Success Hub (Public services + emergency).</t>
  </si>
  <si>
    <t xml:space="preserve">R-0712</t>
  </si>
  <si>
    <t xml:space="preserve">DEPT:CS:Churn prevention</t>
  </si>
  <si>
    <t xml:space="preserve">Own the 'Churn prevention' function of the 8 · Client Success Hub (Public services + emergency).</t>
  </si>
  <si>
    <t xml:space="preserve">R-0713</t>
  </si>
  <si>
    <t xml:space="preserve">DEPT:CS:Expansion</t>
  </si>
  <si>
    <t xml:space="preserve">Own the 'Expansion' function of the 8 · Client Success Hub (Public services + emergency).</t>
  </si>
  <si>
    <t xml:space="preserve">R-0714</t>
  </si>
  <si>
    <t xml:space="preserve">DEPT:CS:BEAS-row</t>
  </si>
  <si>
    <t xml:space="preserve">Self-score the 8 · Client Success Hub on Correctness, Complexity, Patience, Resilience (0 / 0.5 / 1 each) with evidence, and score coordination with the other eight hubs (0–1).</t>
  </si>
  <si>
    <t xml:space="preserve">R-0715</t>
  </si>
  <si>
    <t xml:space="preserve">DEPT:CON:IP creation</t>
  </si>
  <si>
    <t xml:space="preserve">Own the 'IP creation' function of the 9 · Content Hub (Libraries + education).</t>
  </si>
  <si>
    <t xml:space="preserve">v5.1 L1386</t>
  </si>
  <si>
    <t xml:space="preserve">R-0716</t>
  </si>
  <si>
    <t xml:space="preserve">DEPT:CON:Media production</t>
  </si>
  <si>
    <t xml:space="preserve">Own the 'Media production' function of the 9 · Content Hub (Libraries + education).</t>
  </si>
  <si>
    <t xml:space="preserve">R-0717</t>
  </si>
  <si>
    <t xml:space="preserve">DEPT:CON:Methodology documentation</t>
  </si>
  <si>
    <t xml:space="preserve">Own the 'Methodology documentation' function of the 9 · Content Hub (Libraries + education).</t>
  </si>
  <si>
    <t xml:space="preserve">R-0718</t>
  </si>
  <si>
    <t xml:space="preserve">DEPT:CON:Brand</t>
  </si>
  <si>
    <t xml:space="preserve">Own the 'Brand' function of the 9 · Content Hub (Libraries + education).</t>
  </si>
  <si>
    <t xml:space="preserve">R-0719</t>
  </si>
  <si>
    <t xml:space="preserve">DEPT:CON:GFunnel University</t>
  </si>
  <si>
    <t xml:space="preserve">Own the 'GFunnel University' function of the 9 · Content Hub (Libraries + education).</t>
  </si>
  <si>
    <t xml:space="preserve">R-0720</t>
  </si>
  <si>
    <t xml:space="preserve">DEPT:CON:BEAS-row</t>
  </si>
  <si>
    <t xml:space="preserve">Self-score the 9 · Content Hub on Correctness, Complexity, Patience, Resilience (0 / 0.5 / 1 each) with evidence, and score coordination with the other eight hubs (0–1).</t>
  </si>
  <si>
    <t xml:space="preserve">R-0721</t>
  </si>
  <si>
    <t xml:space="preserve">SW:01</t>
  </si>
  <si>
    <t xml:space="preserve">Shepherd's Way Step 01 — Direct: Define before you gather — a single clear statement of intent, direction, scope. Guard against: Begin gathering without a clear direction.</t>
  </si>
  <si>
    <t xml:space="preserve">Shepherd's Way step table</t>
  </si>
  <si>
    <t xml:space="preserve">v5.1 L1488–1497</t>
  </si>
  <si>
    <t xml:space="preserve">Per work item</t>
  </si>
  <si>
    <t xml:space="preserve">Previous step complete</t>
  </si>
  <si>
    <t xml:space="preserve">Step 01 output</t>
  </si>
  <si>
    <t xml:space="preserve">Next step owner</t>
  </si>
  <si>
    <t xml:space="preserve">Direct sign-off for strategic work</t>
  </si>
  <si>
    <t xml:space="preserve">R-0722</t>
  </si>
  <si>
    <t xml:space="preserve">SW:02</t>
  </si>
  <si>
    <t xml:space="preserve">Shepherd's Way Step 02 — Guide: Structure the intake — departments in scope, questions, stakeholders, systems to audit — before information arrives. Guard against: Building the container after the information arrives (5× cost).</t>
  </si>
  <si>
    <t xml:space="preserve">v5.1 L1500–1509</t>
  </si>
  <si>
    <t xml:space="preserve">Step 02 output</t>
  </si>
  <si>
    <t xml:space="preserve">R-0723</t>
  </si>
  <si>
    <t xml:space="preserve">SW:03</t>
  </si>
  <si>
    <t xml:space="preserve">Shepherd's Way Step 03 — Gather: Blueprint first — collect everything (SOPs, tribal knowledge, tools, pain points, workflows, expectations, revenue flows, contractor relationships); filter nothing. Guard against: Filtering during gathering.</t>
  </si>
  <si>
    <t xml:space="preserve">v5.1 L1512–1521</t>
  </si>
  <si>
    <t xml:space="preserve">Step 03 output</t>
  </si>
  <si>
    <t xml:space="preserve">R-0724</t>
  </si>
  <si>
    <t xml:space="preserve">SW:04</t>
  </si>
  <si>
    <t xml:space="preserve">Shepherd's Way Step 04 — Organize: Socks before shoes — categorize, find patterns, map dependencies, sequence; produce blueprint, dependency map, prioritized gap list, build sequence. Guard against: Creating before organizing (3–10× rework).</t>
  </si>
  <si>
    <t xml:space="preserve">v5.1 L1524–1533</t>
  </si>
  <si>
    <t xml:space="preserve">Step 04 output</t>
  </si>
  <si>
    <t xml:space="preserve">R-0725</t>
  </si>
  <si>
    <t xml:space="preserve">SW:05</t>
  </si>
  <si>
    <t xml:space="preserve">Shepherd's Way Step 05 — Create: Knowledge is free, you pay for creation — build only from the organized blueprint. Guard against: Skipping steps 01–04: the wrong thing perfectly built.</t>
  </si>
  <si>
    <t xml:space="preserve">v5.1 L1536–1545</t>
  </si>
  <si>
    <t xml:space="preserve">Step 05 output</t>
  </si>
  <si>
    <t xml:space="preserve">R-0726</t>
  </si>
  <si>
    <t xml:space="preserve">SW:06</t>
  </si>
  <si>
    <t xml:space="preserve">Shepherd's Way Step 06 — Database: If it isn't written, it isn't real — SOPs, Komodo recordings, transcripts, same-day client email recap. Guard against: Skipping documentation because the work is done.</t>
  </si>
  <si>
    <t xml:space="preserve">v5.1 L1548–1557</t>
  </si>
  <si>
    <t xml:space="preserve">Step 06 output</t>
  </si>
  <si>
    <t xml:space="preserve">R-0727</t>
  </si>
  <si>
    <t xml:space="preserve">SW:07</t>
  </si>
  <si>
    <t xml:space="preserve">Shepherd's Way Step 07 — Repetition: Incremental correctness compounds — restart from the higher baseline; New Thought re-enters at Gather. Guard against: Stopping at Create without 06–07.</t>
  </si>
  <si>
    <t xml:space="preserve">v5.1 L1560–1569</t>
  </si>
  <si>
    <t xml:space="preserve">Step 07 output</t>
  </si>
  <si>
    <t xml:space="preserve">R-0728</t>
  </si>
  <si>
    <t xml:space="preserve">SW:NewThought</t>
  </si>
  <si>
    <t xml:space="preserve">New Thought Principle: route any new insight/input back into Gather (not the beginning); the cycle incorporates without restarting.</t>
  </si>
  <si>
    <t xml:space="preserve">New Thought Principle</t>
  </si>
  <si>
    <t xml:space="preserve">v5.1 L1468–1471</t>
  </si>
  <si>
    <t xml:space="preserve">Per new input</t>
  </si>
  <si>
    <t xml:space="preserve">New insight mid-cycle</t>
  </si>
  <si>
    <t xml:space="preserve">Item re-entered at Gather</t>
  </si>
  <si>
    <t xml:space="preserve">Current cycle owner</t>
  </si>
  <si>
    <t xml:space="preserve">R-0729</t>
  </si>
  <si>
    <t xml:space="preserve">IMM:PreImmersion</t>
  </si>
  <si>
    <t xml:space="preserve">Immersion Model — Pre-Immersion Prep (1–2 days before): review all client materials; identify known knowns, unknowns, gaps; build intake structure → structured framework, variable list, questions.</t>
  </si>
  <si>
    <t xml:space="preserve">Immersion Model table</t>
  </si>
  <si>
    <t xml:space="preserve">v5.1 L1335</t>
  </si>
  <si>
    <t xml:space="preserve">Phase output</t>
  </si>
  <si>
    <t xml:space="preserve">Next phase owner</t>
  </si>
  <si>
    <t xml:space="preserve">R-0730</t>
  </si>
  <si>
    <t xml:space="preserve">IMM:Calibration</t>
  </si>
  <si>
    <t xml:space="preserve">Immersion Model — Arrival &amp; Calibration (first 30 min): establish rapport, frame the day as data collection, match the client's frequency → psychological safety.</t>
  </si>
  <si>
    <t xml:space="preserve">v5.1 L1336</t>
  </si>
  <si>
    <t xml:space="preserve">Session human-led</t>
  </si>
  <si>
    <t xml:space="preserve">R-0731</t>
  </si>
  <si>
    <t xml:space="preserve">IMM:FullCapture</t>
  </si>
  <si>
    <t xml:space="preserve">Immersion Model — Full Data Capture (6–12 h): record everything on Komodo — workflows, tribal knowledge, team dynamics, pain points, tools, revenue flows, customer journey, founder vision → raw complete data set, no interpretation.</t>
  </si>
  <si>
    <t xml:space="preserve">v5.1 L1337</t>
  </si>
  <si>
    <t xml:space="preserve">R-0732</t>
  </si>
  <si>
    <t xml:space="preserve">IMM:Organize</t>
  </si>
  <si>
    <t xml:space="preserve">Immersion Model — Organize Phase (same day, final 2 h): categorize by department, identify patterns, map dependencies, flag contradictions → organized blueprint, prioritized gap list.</t>
  </si>
  <si>
    <t xml:space="preserve">v5.1 L1338</t>
  </si>
  <si>
    <t xml:space="preserve">R-0733</t>
  </si>
  <si>
    <t xml:space="preserve">IMM:Blueprint</t>
  </si>
  <si>
    <t xml:space="preserve">Immersion Model — Blueprint Delivery (within 48 h): current state map, gaps, Fibonacci build sequence, BEAS baseline, 90-day roadmap → written, client-approved blueprint.</t>
  </si>
  <si>
    <t xml:space="preserve">v5.1 L1339</t>
  </si>
  <si>
    <t xml:space="preserve">Client approval</t>
  </si>
  <si>
    <t xml:space="preserve">R-0734</t>
  </si>
  <si>
    <t xml:space="preserve">IMM:Build</t>
  </si>
  <si>
    <t xml:space="preserve">Immersion Model — Build Phase (per roadmap): execute against blueprint; every session recorded; every deliverable emailed same day → documented, reproducible system.</t>
  </si>
  <si>
    <t xml:space="preserve">v5.1 L1340</t>
  </si>
  <si>
    <t xml:space="preserve">R-0735</t>
  </si>
  <si>
    <t xml:space="preserve">ACE:A:Centralize</t>
  </si>
  <si>
    <t xml:space="preserve">ACE Acquisition — Centralize all lead channels into Lead Connector (GHL).</t>
  </si>
  <si>
    <t xml:space="preserve">ACE Stage 01 core actions</t>
  </si>
  <si>
    <t xml:space="preserve">New lead / weekly review</t>
  </si>
  <si>
    <t xml:space="preserve">R-0736</t>
  </si>
  <si>
    <t xml:space="preserve">ACE:A:Tag</t>
  </si>
  <si>
    <t xml:space="preserve">ACE Acquisition — Tag leads with source, campaign and hot buttons at capture.</t>
  </si>
  <si>
    <t xml:space="preserve">R-0737</t>
  </si>
  <si>
    <t xml:space="preserve">ACE:A:InstantReply</t>
  </si>
  <si>
    <t xml:space="preserve">ACE Acquisition — Flows AI replies instantly to all inbound — zero lag.</t>
  </si>
  <si>
    <t xml:space="preserve">R-0738</t>
  </si>
  <si>
    <t xml:space="preserve">ACE:A:Qualify</t>
  </si>
  <si>
    <t xml:space="preserve">ACE Acquisition — Qualify quickly through automated short surveys.</t>
  </si>
  <si>
    <t xml:space="preserve">R-0739</t>
  </si>
  <si>
    <t xml:space="preserve">ACE:A:ChannelROI</t>
  </si>
  <si>
    <t xml:space="preserve">ACE Acquisition — Track channel ROI at capture — reallocate to highest-converting.</t>
  </si>
  <si>
    <t xml:space="preserve">Budget reallocation</t>
  </si>
  <si>
    <t xml:space="preserve">R-0740</t>
  </si>
  <si>
    <t xml:space="preserve">ACE:A:YinYang</t>
  </si>
  <si>
    <t xml:space="preserve">ACE Acquisition — Run automated inbound (Yin) and active outreach (Yang) simultaneously; avoid outreach without qualification and inbound with no outreach.</t>
  </si>
  <si>
    <t xml:space="preserve">R-0741</t>
  </si>
  <si>
    <t xml:space="preserve">PIPE:New Lead</t>
  </si>
  <si>
    <t xml:space="preserve">Pipeline stage 'New Lead': own entry to this stage and its automated follow-up sequence so no lead falls through without a trigger.</t>
  </si>
  <si>
    <t xml:space="preserve">ACE GHL pipeline</t>
  </si>
  <si>
    <t xml:space="preserve">Stage entered</t>
  </si>
  <si>
    <t xml:space="preserve">Stage automation fired</t>
  </si>
  <si>
    <t xml:space="preserve">R-0742</t>
  </si>
  <si>
    <t xml:space="preserve">PIPE:Contacted</t>
  </si>
  <si>
    <t xml:space="preserve">Pipeline stage 'Contacted': own entry to this stage and its automated follow-up sequence so no lead falls through without a trigger.</t>
  </si>
  <si>
    <t xml:space="preserve">R-0743</t>
  </si>
  <si>
    <t xml:space="preserve">PIPE:Qualified</t>
  </si>
  <si>
    <t xml:space="preserve">Pipeline stage 'Qualified': own entry to this stage and its automated follow-up sequence so no lead falls through without a trigger.</t>
  </si>
  <si>
    <t xml:space="preserve">R-0744</t>
  </si>
  <si>
    <t xml:space="preserve">PIPE:Appointment Set</t>
  </si>
  <si>
    <t xml:space="preserve">Pipeline stage 'Appointment Set': own entry to this stage and its automated follow-up sequence so no lead falls through without a trigger.</t>
  </si>
  <si>
    <t xml:space="preserve">R-0745</t>
  </si>
  <si>
    <t xml:space="preserve">PIPE:Show</t>
  </si>
  <si>
    <t xml:space="preserve">Pipeline stage 'Show': own entry to this stage and its automated follow-up sequence so no lead falls through without a trigger.</t>
  </si>
  <si>
    <t xml:space="preserve">R-0746</t>
  </si>
  <si>
    <t xml:space="preserve">PIPE:Proposal</t>
  </si>
  <si>
    <t xml:space="preserve">Pipeline stage 'Proposal': own entry to this stage and its automated follow-up sequence so no lead falls through without a trigger.</t>
  </si>
  <si>
    <t xml:space="preserve">R-0747</t>
  </si>
  <si>
    <t xml:space="preserve">PIPE:Closed Won</t>
  </si>
  <si>
    <t xml:space="preserve">Pipeline stage 'Closed Won': own entry to this stage and its automated follow-up sequence so no lead falls through without a trigger.</t>
  </si>
  <si>
    <t xml:space="preserve">R-0748</t>
  </si>
  <si>
    <t xml:space="preserve">PIPE:Closed Lost</t>
  </si>
  <si>
    <t xml:space="preserve">Pipeline stage 'Closed Lost': own entry to this stage and its automated follow-up sequence so no lead falls through without a trigger. Closed Lost → integrate the lost path (Layer I.G) and re-nurture.</t>
  </si>
  <si>
    <t xml:space="preserve">R-0749</t>
  </si>
  <si>
    <t xml:space="preserve">ACE:C:Script</t>
  </si>
  <si>
    <t xml:space="preserve">ACE Creation — Follow the 7-step script structure.</t>
  </si>
  <si>
    <t xml:space="preserve">ACE Stage 02 core actions</t>
  </si>
  <si>
    <t xml:space="preserve">v5.1 L1606–1609</t>
  </si>
  <si>
    <t xml:space="preserve">Per call</t>
  </si>
  <si>
    <t xml:space="preserve">Call booked/held</t>
  </si>
  <si>
    <t xml:space="preserve">Call is human-led</t>
  </si>
  <si>
    <t xml:space="preserve">R-0750</t>
  </si>
  <si>
    <t xml:space="preserve">ACE:C:RecordTag</t>
  </si>
  <si>
    <t xml:space="preserve">ACE Creation — Record and tag all calls in Lead Connector for QA.</t>
  </si>
  <si>
    <t xml:space="preserve">R-0751</t>
  </si>
  <si>
    <t xml:space="preserve">ACE:C:AIContracts</t>
  </si>
  <si>
    <t xml:space="preserve">ACE Creation — AI populates contracts and proposals from call notes.</t>
  </si>
  <si>
    <t xml:space="preserve">R-0752</t>
  </si>
  <si>
    <t xml:space="preserve">ACE:C:Stack</t>
  </si>
  <si>
    <t xml:space="preserve">ACE Creation — Stack three offers: Software / Done-For-You / Custom.</t>
  </si>
  <si>
    <t xml:space="preserve">R-0753</t>
  </si>
  <si>
    <t xml:space="preserve">ACE:C:FuturePace</t>
  </si>
  <si>
    <t xml:space="preserve">ACE Creation — Future pace before every major transition.</t>
  </si>
  <si>
    <t xml:space="preserve">R-0754</t>
  </si>
  <si>
    <t xml:space="preserve">ACE:C:YinYang</t>
  </si>
  <si>
    <t xml:space="preserve">ACE Creation — Hold each call at the middle: enough discovery (Yin) for the offer to land, enough confidence (Yang) to ask for the decision.</t>
  </si>
  <si>
    <t xml:space="preserve">R-0755</t>
  </si>
  <si>
    <t xml:space="preserve">OFFER:T1</t>
  </si>
  <si>
    <t xml:space="preserve">Maintain Offer Tier 1 — Software Only: access to the GFunnel platform. Every prospect has a landing point.</t>
  </si>
  <si>
    <t xml:space="preserve">ACE Offer Architecture</t>
  </si>
  <si>
    <t xml:space="preserve">v5.1 L1609</t>
  </si>
  <si>
    <t xml:space="preserve">Tier definition</t>
  </si>
  <si>
    <t xml:space="preserve">Offer changes</t>
  </si>
  <si>
    <t xml:space="preserve">R-0756</t>
  </si>
  <si>
    <t xml:space="preserve">OFFER:T2</t>
  </si>
  <si>
    <t xml:space="preserve">Maintain Offer Tier 2 — Done-For-You: GFunnel builds and manages. Every prospect has a landing point.</t>
  </si>
  <si>
    <t xml:space="preserve">R-0757</t>
  </si>
  <si>
    <t xml:space="preserve">OFFER:T3</t>
  </si>
  <si>
    <t xml:space="preserve">Maintain Offer Tier 3 — Custom Enterprise: full white-label or custom build. Every prospect has a landing point.</t>
  </si>
  <si>
    <t xml:space="preserve">R-0758</t>
  </si>
  <si>
    <t xml:space="preserve">SCRIPT:01</t>
  </si>
  <si>
    <t xml:space="preserve">7-Step Script 01 — Permission + Frame (Yin): Establish psychological safety and mutual agenda. Prompt: "Are you open to me asking some questions before we dive in?"</t>
  </si>
  <si>
    <t xml:space="preserve">7-Step Sales Script</t>
  </si>
  <si>
    <t xml:space="preserve">v5.1 L1615–1623</t>
  </si>
  <si>
    <t xml:space="preserve">Previous script step</t>
  </si>
  <si>
    <t xml:space="preserve">Prospect moved to next step</t>
  </si>
  <si>
    <t xml:space="preserve">SAL-06 (objections) / SAL-11 (handoff)</t>
  </si>
  <si>
    <t xml:space="preserve">Spoken by human closer</t>
  </si>
  <si>
    <t xml:space="preserve">R-0759</t>
  </si>
  <si>
    <t xml:space="preserve">SCRIPT:02</t>
  </si>
  <si>
    <t xml:space="preserve">7-Step Script 02 — Discovery (Yin — pure listening): Understand the prospect's actual situation. Prompt: "Tell me about your current situation. What's working? What's not?"</t>
  </si>
  <si>
    <t xml:space="preserve">R-0760</t>
  </si>
  <si>
    <t xml:space="preserve">SCRIPT:03</t>
  </si>
  <si>
    <t xml:space="preserve">7-Step Script 03 — Pain Excavation (Yin→2nd): Quantify the cost of the current situation. Prompt: "What does that cost you? In time? In revenue? In stress? What happens if nothing changes?"</t>
  </si>
  <si>
    <t xml:space="preserve">R-0761</t>
  </si>
  <si>
    <t xml:space="preserve">SCRIPT:04</t>
  </si>
  <si>
    <t xml:space="preserve">7-Step Script 04 — Vision Pull (2nd→Yang): Establish the desired state. The gap IS the sale. Prompt: "If we could solve [specific problem], what does that make possible for you?"</t>
  </si>
  <si>
    <t xml:space="preserve">R-0762</t>
  </si>
  <si>
    <t xml:space="preserve">SCRIPT:05</t>
  </si>
  <si>
    <t xml:space="preserve">7-Step Script 05 — Solution Bridge (Yang — presenting): Connect their pain/vision to the specific solution. Prompt: "Here's exactly how we solve that: [specific system to specific need]."</t>
  </si>
  <si>
    <t xml:space="preserve">R-0763</t>
  </si>
  <si>
    <t xml:space="preserve">SCRIPT:06</t>
  </si>
  <si>
    <t xml:space="preserve">7-Step Script 06 — Offer + Stack (Yang — the ask): Present all three tiers. Let them self-select. Prompt: "We have three ways to engage. Let me walk you through each."</t>
  </si>
  <si>
    <t xml:space="preserve">R-0764</t>
  </si>
  <si>
    <t xml:space="preserve">SCRIPT:07</t>
  </si>
  <si>
    <t xml:space="preserve">7-Step Script 07 — Close + Handoff (Yang closing, Yin receiving): Ask for the decision; handle objections via I.A.C.E.; transition to onboarding. Prompt: "Based on everything you've shared, which option makes the most sense for where you are right now?"</t>
  </si>
  <si>
    <t xml:space="preserve">R-0765</t>
  </si>
  <si>
    <t xml:space="preserve">IACE:I</t>
  </si>
  <si>
    <t xml:space="preserve">I.A.C.E. I — Isolate: Identify the real objection beneath the surface objection.</t>
  </si>
  <si>
    <t xml:space="preserve">I.A.C.E. Objection Loop</t>
  </si>
  <si>
    <t xml:space="preserve">v5.1 L1632–1637</t>
  </si>
  <si>
    <t xml:space="preserve">Per objection</t>
  </si>
  <si>
    <t xml:space="preserve">Objection raised</t>
  </si>
  <si>
    <t xml:space="preserve">Objection resolved or honestly escalated</t>
  </si>
  <si>
    <t xml:space="preserve">Escalate decision by human closer</t>
  </si>
  <si>
    <t xml:space="preserve">R-0766</t>
  </si>
  <si>
    <t xml:space="preserve">IACE:A</t>
  </si>
  <si>
    <t xml:space="preserve">I.A.C.E. A — Acknowledge: Match frequency; validate the concern (Vibration: match before you shift).</t>
  </si>
  <si>
    <t xml:space="preserve">R-0767</t>
  </si>
  <si>
    <t xml:space="preserve">IACE:C</t>
  </si>
  <si>
    <t xml:space="preserve">I.A.C.E. C — Clarify: Get precise — what exactly is the variable?</t>
  </si>
  <si>
    <t xml:space="preserve">R-0768</t>
  </si>
  <si>
    <t xml:space="preserve">IACE:E</t>
  </si>
  <si>
    <t xml:space="preserve">I.A.C.E. E — Eliminate or Escalate: Resolve with specific evidence, or acknowledge a legitimate reason not to proceed (the honest path).</t>
  </si>
  <si>
    <t xml:space="preserve">R-0769</t>
  </si>
  <si>
    <t xml:space="preserve">ACE:E:Referral</t>
  </si>
  <si>
    <t xml:space="preserve">ACE Expansion — Flows AI automates referral sequences after successful deliverables.</t>
  </si>
  <si>
    <t xml:space="preserve">ACE Stage 03 core actions / retention architecture</t>
  </si>
  <si>
    <t xml:space="preserve">v5.1 L1646–1650</t>
  </si>
  <si>
    <t xml:space="preserve">Per client cycle</t>
  </si>
  <si>
    <t xml:space="preserve">R-0770</t>
  </si>
  <si>
    <t xml:space="preserve">ACE:E:ReportAuto</t>
  </si>
  <si>
    <t xml:space="preserve">ACE Expansion — Measure and report results automatically.</t>
  </si>
  <si>
    <t xml:space="preserve">R-0771</t>
  </si>
  <si>
    <t xml:space="preserve">ACE:E:HourBonus</t>
  </si>
  <si>
    <t xml:space="preserve">ACE Expansion — Hour bonuses trigger natural upgrade conversations.</t>
  </si>
  <si>
    <t xml:space="preserve">R-0772</t>
  </si>
  <si>
    <t xml:space="preserve">ACE:E:Downgrade</t>
  </si>
  <si>
    <t xml:space="preserve">ACE Expansion — Downgrade path to $297 prevents full cancellation.</t>
  </si>
  <si>
    <t xml:space="preserve">R-0773</t>
  </si>
  <si>
    <t xml:space="preserve">ACE:E:Community</t>
  </si>
  <si>
    <t xml:space="preserve">ACE Expansion — Community + social network creates stickiness beyond product.</t>
  </si>
  <si>
    <t xml:space="preserve">R-0774</t>
  </si>
  <si>
    <t xml:space="preserve">ACE:E:MonthlyBEAS</t>
  </si>
  <si>
    <t xml:space="preserve">ACE Expansion — Monthly BEAS review delivered to client.</t>
  </si>
  <si>
    <t xml:space="preserve">R-0775</t>
  </si>
  <si>
    <t xml:space="preserve">ACE:E:QuarterlyImm</t>
  </si>
  <si>
    <t xml:space="preserve">ACE Expansion — Quarterly Immersion review session.</t>
  </si>
  <si>
    <t xml:space="preserve">R-0776</t>
  </si>
  <si>
    <t xml:space="preserve">ACE:E:ProgressReport</t>
  </si>
  <si>
    <t xml:space="preserve">ACE Expansion — Progress report showing First Kingdom results from Second Kingdom systems built — the report IS the upsell trigger.</t>
  </si>
  <si>
    <t xml:space="preserve">R-0777</t>
  </si>
  <si>
    <t xml:space="preserve">ACE:E:YinYang</t>
  </si>
  <si>
    <t xml:space="preserve">ACE Expansion — Hold expansion at the middle: proactive result reporting creates natural expansion; neither constant upsell nor serve-and-wait.</t>
  </si>
  <si>
    <t xml:space="preserve">R-0778</t>
  </si>
  <si>
    <t xml:space="preserve">PILLAR:Correctness</t>
  </si>
  <si>
    <t xml:space="preserve">Pillar steward — Correctness: Every move objectively sound; no shortcuts (97% accuracy → 16% perfection over 60 decisions). In practice: documented SOPs, tested automations before launch, blueprint review before any build, every Komodo recording.</t>
  </si>
  <si>
    <t xml:space="preserve">Four Pillars table</t>
  </si>
  <si>
    <t xml:space="preserve">v5.1 L1364</t>
  </si>
  <si>
    <t xml:space="preserve">Continuous; scored monthly</t>
  </si>
  <si>
    <t xml:space="preserve">Pillar evidence across all hubs</t>
  </si>
  <si>
    <t xml:space="preserve">R-0779</t>
  </si>
  <si>
    <t xml:space="preserve">PILLAR:Complexity</t>
  </si>
  <si>
    <t xml:space="preserve">Pillar steward — Complexity: Embrace full scope; never oversimplify. In practice: nine integrated departments, no isolated tools, Gather step before any build.</t>
  </si>
  <si>
    <t xml:space="preserve">v5.1 L1365</t>
  </si>
  <si>
    <t xml:space="preserve">R-0780</t>
  </si>
  <si>
    <t xml:space="preserve">PILLAR:Patience</t>
  </si>
  <si>
    <t xml:space="preserve">Pillar steward — Patience: Growth through position, not desperation; blueprint first. In practice: 5-phase implementation, Direct → Guide → Gather before any system is built, quarterly BEAS assessment.</t>
  </si>
  <si>
    <t xml:space="preserve">v5.1 L1366</t>
  </si>
  <si>
    <t xml:space="preserve">R-0781</t>
  </si>
  <si>
    <t xml:space="preserve">PILLAR:Resilience</t>
  </si>
  <si>
    <t xml:space="preserve">Pillar steward — Resilience: Survive pressure without collapse; productive entropy. In practice: Komodo-recorded processes, full documentation, never fully dependent on any single third party, downgrade path to $297.</t>
  </si>
  <si>
    <t xml:space="preserve">v5.1 L1367</t>
  </si>
  <si>
    <t xml:space="preserve">R-0782</t>
  </si>
  <si>
    <t xml:space="preserve">BEAS:Score</t>
  </si>
  <si>
    <t xml:space="preserve">BEAS — Score each of 36 cells 0 / 0.5 / 1 (absent / partial / fully implemented).</t>
  </si>
  <si>
    <t xml:space="preserve">BEAS scoring / interpretation / quadrant tables</t>
  </si>
  <si>
    <t xml:space="preserve">v5.1 L1389–1446</t>
  </si>
  <si>
    <t xml:space="preserve">R-0783</t>
  </si>
  <si>
    <t xml:space="preserve">BEAS:DeptTotal</t>
  </si>
  <si>
    <t xml:space="preserve">BEAS — Department Total = sum of four pillar scores (max 4).</t>
  </si>
  <si>
    <t xml:space="preserve">R-0784</t>
  </si>
  <si>
    <t xml:space="preserve">BEAS:Coord</t>
  </si>
  <si>
    <t xml:space="preserve">BEAS — Coordination Score 0–1 per department (max 9).</t>
  </si>
  <si>
    <t xml:space="preserve">R-0785</t>
  </si>
  <si>
    <t xml:space="preserve">BEAS:Total</t>
  </si>
  <si>
    <t xml:space="preserve">BEAS — BEAS Total = 36 pillar scores + coordination (max 45).</t>
  </si>
  <si>
    <t xml:space="preserve">R-0786</t>
  </si>
  <si>
    <t xml:space="preserve">BEAS:Band40</t>
  </si>
  <si>
    <t xml:space="preserve">BEAS — 40–45 Dynamic Middle—Sustained → scale intentionally; begin next Fibonacci step.</t>
  </si>
  <si>
    <t xml:space="preserve">R-0787</t>
  </si>
  <si>
    <t xml:space="preserve">BEAS:Band32</t>
  </si>
  <si>
    <t xml:space="preserve">BEAS — 32–39 Equilibrium—Functional → identify lowest department; apply Shepherd's Way.</t>
  </si>
  <si>
    <t xml:space="preserve">R-0788</t>
  </si>
  <si>
    <t xml:space="preserve">BEAS:Band24</t>
  </si>
  <si>
    <t xml:space="preserve">BEAS — 24–31 Imbalance—Managed → gap analysis; prioritize by dependency order.</t>
  </si>
  <si>
    <t xml:space="preserve">R-0789</t>
  </si>
  <si>
    <t xml:space="preserve">BEAS:Band16</t>
  </si>
  <si>
    <t xml:space="preserve">BEAS — 16–23 Imbalance—Exposed → return to Gather; full Immersion Model recommended.</t>
  </si>
  <si>
    <t xml:space="preserve">R-0790</t>
  </si>
  <si>
    <t xml:space="preserve">BEAS:Band0</t>
  </si>
  <si>
    <t xml:space="preserve">BEAS — 0–15 Collapse Risk → emergency blueprint session; minimum viable docs in all 9 departments within 30 days.</t>
  </si>
  <si>
    <t xml:space="preserve">R-0791</t>
  </si>
  <si>
    <t xml:space="preserve">BEAS:QYang</t>
  </si>
  <si>
    <t xml:space="preserve">BEAS — Quadrant check — High Yang (Marketing, Sales, Operations): overdeveloped = revenue without infrastructure; underdeveloped = no pipeline/clients/capacity.</t>
  </si>
  <si>
    <t xml:space="preserve">Stage classification</t>
  </si>
  <si>
    <t xml:space="preserve">R-0792</t>
  </si>
  <si>
    <t xml:space="preserve">BEAS:QYin</t>
  </si>
  <si>
    <t xml:space="preserve">BEAS — Quadrant check — High Yin (Strategy, Finance, HR &amp; Culture, Content): overdeveloped = organized business that doesn't grow; underdeveloped = no direction/capital control/team/IP.</t>
  </si>
  <si>
    <t xml:space="preserve">R-0793</t>
  </si>
  <si>
    <t xml:space="preserve">BEAS:QBridge</t>
  </si>
  <si>
    <t xml:space="preserve">BEAS — Quadrant check — Bridging (Technology, Client Success): overdeveloped = over-engineered systems nobody uses; underdeveloped = manual processes at scale, churn.</t>
  </si>
  <si>
    <t xml:space="preserve">R-0794</t>
  </si>
  <si>
    <t xml:space="preserve">MODE:1</t>
  </si>
  <si>
    <t xml:space="preserve">Propagation Mode 1 — Direct Teaching: Person-to-person transfer — sales calls, onboarding, coaching.</t>
  </si>
  <si>
    <t xml:space="preserve">Five Modes of Propagation</t>
  </si>
  <si>
    <t xml:space="preserve">v5.1 L1303–1309</t>
  </si>
  <si>
    <t xml:space="preserve">Process independent of its originator</t>
  </si>
  <si>
    <t xml:space="preserve">R-0795</t>
  </si>
  <si>
    <t xml:space="preserve">MODE:2</t>
  </si>
  <si>
    <t xml:space="preserve">Propagation Mode 2 — Demonstration: Show the process in action — Komodo recordings, case studies, testimonials.</t>
  </si>
  <si>
    <t xml:space="preserve">R-0796</t>
  </si>
  <si>
    <t xml:space="preserve">MODE:3</t>
  </si>
  <si>
    <t xml:space="preserve">Propagation Mode 3 — Documentation: Encode into text/video/structured media — SOPs, methodology, GFunnel University.</t>
  </si>
  <si>
    <t xml:space="preserve">R-0797</t>
  </si>
  <si>
    <t xml:space="preserve">MODE:4</t>
  </si>
  <si>
    <t xml:space="preserve">Propagation Mode 4 — System-Building: Systems that execute the process automatically — n8n automations, GHL pipelines, AI workflows.</t>
  </si>
  <si>
    <t xml:space="preserve">R-0798</t>
  </si>
  <si>
    <t xml:space="preserve">MODE:5</t>
  </si>
  <si>
    <t xml:space="preserve">Propagation Mode 5 — Cultural Embedding: The process becomes a community assumption — community norms, brand language, methodology.</t>
  </si>
  <si>
    <t xml:space="preserve">R-0799</t>
  </si>
  <si>
    <t xml:space="preserve">PROP:Docs</t>
  </si>
  <si>
    <t xml:space="preserve">Propagation guard — Sustain: documentation at every step / Kill: tribal knowledge.</t>
  </si>
  <si>
    <t xml:space="preserve">What Sustains vs. What Kills Propagation</t>
  </si>
  <si>
    <t xml:space="preserve">v5.1 L1318–1324</t>
  </si>
  <si>
    <t xml:space="preserve">Monthly audit</t>
  </si>
  <si>
    <t xml:space="preserve">R-0800</t>
  </si>
  <si>
    <t xml:space="preserve">PROP:Results</t>
  </si>
  <si>
    <t xml:space="preserve">Propagation guard — Sustain: results that speak / Kill: promises without proof.</t>
  </si>
  <si>
    <t xml:space="preserve">R-0801</t>
  </si>
  <si>
    <t xml:space="preserve">PROP:Community</t>
  </si>
  <si>
    <t xml:space="preserve">Propagation guard — Sustain: community formation (Mode 5) / Kill: transactional relationships.</t>
  </si>
  <si>
    <t xml:space="preserve">R-0802</t>
  </si>
  <si>
    <t xml:space="preserve">PROP:SysIndep</t>
  </si>
  <si>
    <t xml:space="preserve">Propagation guard — Sustain: system independence via Mode 4 / Kill: key-person dependencies.</t>
  </si>
  <si>
    <t xml:space="preserve">R-0803</t>
  </si>
  <si>
    <t xml:space="preserve">PROP:Fibonacci</t>
  </si>
  <si>
    <t xml:space="preserve">Propagation guard — Sustain: Fibonacci growth, each cycle informed by the prior two / Kill: exponential growth without Yin infrastructure (Texas Grid).</t>
  </si>
  <si>
    <t xml:space="preserve">R-0804</t>
  </si>
  <si>
    <t xml:space="preserve">AUDIT:1</t>
  </si>
  <si>
    <t xml:space="preserve">Self-audit check 1: Identified which algorithm applies (else Master Meta-Algorithm / Algorithm Index).</t>
  </si>
  <si>
    <t xml:space="preserve">Self-Audit Checklist</t>
  </si>
  <si>
    <t xml:space="preserve">Per agent run</t>
  </si>
  <si>
    <t xml:space="preserve">Run completed</t>
  </si>
  <si>
    <t xml:space="preserve">Pass/fail</t>
  </si>
  <si>
    <t xml:space="preserve">Failing agent</t>
  </si>
  <si>
    <t xml:space="preserve">R-0805</t>
  </si>
  <si>
    <t xml:space="preserve">AUDIT:2</t>
  </si>
  <si>
    <t xml:space="preserve">Self-audit check 2: Ran the algorithm in order, without skipping steps.</t>
  </si>
  <si>
    <t xml:space="preserve">R-0806</t>
  </si>
  <si>
    <t xml:space="preserve">AUDIT:3</t>
  </si>
  <si>
    <t xml:space="preserve">Self-audit check 3: Held open the variables named as held open.</t>
  </si>
  <si>
    <t xml:space="preserve">R-0807</t>
  </si>
  <si>
    <t xml:space="preserve">AUDIT:4</t>
  </si>
  <si>
    <t xml:space="preserve">Self-audit check 4: Documented the run (Layer VI Step 6).</t>
  </si>
  <si>
    <t xml:space="preserve">R-0808</t>
  </si>
  <si>
    <t xml:space="preserve">AUDIT:5</t>
  </si>
  <si>
    <t xml:space="preserve">Self-audit check 5: Applied Correspondence at adjacent scales.</t>
  </si>
  <si>
    <t xml:space="preserve">R-0809</t>
  </si>
  <si>
    <t xml:space="preserve">AUDIT:6</t>
  </si>
  <si>
    <t xml:space="preserve">Self-audit check 6: Distinguished measured from assumed (Variable Principle).</t>
  </si>
  <si>
    <t xml:space="preserve">R-0810</t>
  </si>
  <si>
    <t xml:space="preserve">AUDIT:7</t>
  </si>
  <si>
    <t xml:space="preserve">Self-audit check 7: Integrated failed paths from prior runs (Layer I.G).</t>
  </si>
  <si>
    <t xml:space="preserve">R-0811</t>
  </si>
  <si>
    <t xml:space="preserve">CANNOT:1</t>
  </si>
  <si>
    <t xml:space="preserve">Supply what the framework cannot: The choice of action at any decision point.</t>
  </si>
  <si>
    <t xml:space="preserve">What The Framework Cannot Supply</t>
  </si>
  <si>
    <t xml:space="preserve">v5.1 L168–181</t>
  </si>
  <si>
    <t xml:space="preserve">Per gate</t>
  </si>
  <si>
    <t xml:space="preserve">Human Gate raised</t>
  </si>
  <si>
    <t xml:space="preserve">Decision / name / measurement</t>
  </si>
  <si>
    <t xml:space="preserve">Requesting agent</t>
  </si>
  <si>
    <t xml:space="preserve">R-0812</t>
  </si>
  <si>
    <t xml:space="preserve">CANNOT:2</t>
  </si>
  <si>
    <t xml:space="preserve">Supply what the framework cannot: The naming of outcome after the action.</t>
  </si>
  <si>
    <t xml:space="preserve">R-0813</t>
  </si>
  <si>
    <t xml:space="preserve">CANNOT:3</t>
  </si>
  <si>
    <t xml:space="preserve">Supply what the framework cannot: Empirical measurements specific to the situation.</t>
  </si>
  <si>
    <t xml:space="preserve">R-0814</t>
  </si>
  <si>
    <t xml:space="preserve">CANNOT:4</t>
  </si>
  <si>
    <t xml:space="preserve">Supply what the framework cannot: Stance on bounded variables the framework holds open.</t>
  </si>
  <si>
    <t xml:space="preserve">R-0815</t>
  </si>
  <si>
    <t xml:space="preserve">MMFAIL:1</t>
  </si>
  <si>
    <t xml:space="preserve">Detect Master Meta-Algorithm failure mode 1: Step 1 skipped (no domain) → noise.</t>
  </si>
  <si>
    <t xml:space="preserve">Master Meta-Algorithm Failure Modes</t>
  </si>
  <si>
    <t xml:space="preserve">v5.1 L2206–2225</t>
  </si>
  <si>
    <t xml:space="preserve">Per derivation</t>
  </si>
  <si>
    <t xml:space="preserve">Derived run submitted</t>
  </si>
  <si>
    <t xml:space="preserve">Failure flagged</t>
  </si>
  <si>
    <t xml:space="preserve">R-0816</t>
  </si>
  <si>
    <t xml:space="preserve">MMFAIL:2</t>
  </si>
  <si>
    <t xml:space="preserve">Detect Master Meta-Algorithm failure mode 2: Step 4 skipped (no desired state) → no target.</t>
  </si>
  <si>
    <t xml:space="preserve">R-0817</t>
  </si>
  <si>
    <t xml:space="preserve">MMFAIL:3</t>
  </si>
  <si>
    <t xml:space="preserve">Detect Master Meta-Algorithm failure mode 3: Step 5 skipped (no dynamic middle) → burnout or paralysis.</t>
  </si>
  <si>
    <t xml:space="preserve">R-0818</t>
  </si>
  <si>
    <t xml:space="preserve">MMFAIL:4</t>
  </si>
  <si>
    <t xml:space="preserve">Detect Master Meta-Algorithm failure mode 4: Step 9 sequencing skipped (Third → First without Second) → wrong thing perfectly built.</t>
  </si>
  <si>
    <t xml:space="preserve">R-0819</t>
  </si>
  <si>
    <t xml:space="preserve">MMFAIL:5</t>
  </si>
  <si>
    <t xml:space="preserve">Detect Master Meta-Algorithm failure mode 5: Step 11 skipped (no documentation) → dependency, dies with operator.</t>
  </si>
  <si>
    <t xml:space="preserve">R-0820</t>
  </si>
  <si>
    <t xml:space="preserve">MMFAIL:6</t>
  </si>
  <si>
    <t xml:space="preserve">Detect Master Meta-Algorithm failure mode 6: Step 12 skipped (no higher baseline) → flat repetition.</t>
  </si>
  <si>
    <t xml:space="preserve">R-0821</t>
  </si>
  <si>
    <t xml:space="preserve">DEEPLENS:A</t>
  </si>
  <si>
    <t xml:space="preserve">Deep-Lens A — Name &amp; Reframe: run on any business mechanism needing a high-resolution diagnosis.</t>
  </si>
  <si>
    <t xml:space="preserve">v5.2 Deep-Lens Protocol §1</t>
  </si>
  <si>
    <t xml:space="preserve">v5.2 L29–74</t>
  </si>
  <si>
    <t xml:space="preserve">Per deep diagnosis</t>
  </si>
  <si>
    <t xml:space="preserve">Deep diagnosis requested</t>
  </si>
  <si>
    <t xml:space="preserve">Deep-Lens record</t>
  </si>
  <si>
    <t xml:space="preserve">R-0822</t>
  </si>
  <si>
    <t xml:space="preserve">DEEPLENS:B</t>
  </si>
  <si>
    <t xml:space="preserve">Deep-Lens B — Structure (DETECT / PROCESS / RESPOND): run on any business mechanism needing a high-resolution diagnosis.</t>
  </si>
  <si>
    <t xml:space="preserve">R-0823</t>
  </si>
  <si>
    <t xml:space="preserve">DEEPLENS:C</t>
  </si>
  <si>
    <t xml:space="preserve">Deep-Lens C — Placement (Kingdom, domain, principle): run on any business mechanism needing a high-resolution diagnosis.</t>
  </si>
  <si>
    <t xml:space="preserve">R-0824</t>
  </si>
  <si>
    <t xml:space="preserve">DEEPLENS:D</t>
  </si>
  <si>
    <t xml:space="preserve">Deep-Lens D — Gradient &amp; Dynamic Middle: run on any business mechanism needing a high-resolution diagnosis.</t>
  </si>
  <si>
    <t xml:space="preserve">R-0825</t>
  </si>
  <si>
    <t xml:space="preserve">DEEPLENS:E</t>
  </si>
  <si>
    <t xml:space="preserve">Deep-Lens E — Forced vs Guided: run on any business mechanism needing a high-resolution diagnosis.</t>
  </si>
  <si>
    <t xml:space="preserve">R-0826</t>
  </si>
  <si>
    <t xml:space="preserve">DEEPLENS:F</t>
  </si>
  <si>
    <t xml:space="preserve">Deep-Lens F — Keys &amp; Doors — Decode / Drown / Numb: run on any business mechanism needing a high-resolution diagnosis.</t>
  </si>
  <si>
    <t xml:space="preserve">R-0827</t>
  </si>
  <si>
    <t xml:space="preserve">DEEPLENS:G</t>
  </si>
  <si>
    <t xml:space="preserve">Deep-Lens G — Boundary Class — Scaffolding vs Constitutive: run on any business mechanism needing a high-resolution diagnosis.</t>
  </si>
  <si>
    <t xml:space="preserve">R-0828</t>
  </si>
  <si>
    <t xml:space="preserve">DEEPLENS:H</t>
  </si>
  <si>
    <t xml:space="preserve">Deep-Lens H — Failure Mode &amp; Rebuild: run on any business mechanism needing a high-resolution diagnosis.</t>
  </si>
  <si>
    <t xml:space="preserve">R-0829</t>
  </si>
  <si>
    <t xml:space="preserve">DEEPLENS:I</t>
  </si>
  <si>
    <t xml:space="preserve">Deep-Lens I — Falsifiability &amp; Variable Ledger: run on any business mechanism needing a high-resolution diagnosis.</t>
  </si>
  <si>
    <t xml:space="preserve">R-0830</t>
  </si>
  <si>
    <t xml:space="preserve">DEEPLENS:J</t>
  </si>
  <si>
    <t xml:space="preserve">Deep-Lens J — Leverage — Knowledge → Action → Discipline: run on any business mechanism needing a high-resolution diagnosis.</t>
  </si>
  <si>
    <t xml:space="preserve">R-0831</t>
  </si>
  <si>
    <t xml:space="preserve">DEEPLENS:K</t>
  </si>
  <si>
    <t xml:space="preserve">Deep-Lens K — Correspondence Check: run on any business mechanism needing a high-resolution diagnosis.</t>
  </si>
  <si>
    <t xml:space="preserve">R-0832</t>
  </si>
  <si>
    <t xml:space="preserve">DEEPLENS:L</t>
  </si>
  <si>
    <t xml:space="preserve">Deep-Lens L — Document &amp; Restart: run on any business mechanism needing a high-resolution diagnosis.</t>
  </si>
  <si>
    <t xml:space="preserve">R-0833</t>
  </si>
  <si>
    <t xml:space="preserve">FT:A</t>
  </si>
  <si>
    <t xml:space="preserve">Forcing Test / Container — Test A · Ground — is the gap within-system or a source/ground question?</t>
  </si>
  <si>
    <t xml:space="preserve">v5.3 Meta-Tier §1–§3</t>
  </si>
  <si>
    <t xml:space="preserve">v5.3 §1–§3</t>
  </si>
  <si>
    <t xml:space="preserve">Per open question</t>
  </si>
  <si>
    <t xml:space="preserve">Variable proposed for resolution</t>
  </si>
  <si>
    <t xml:space="preserve">Classified gap + next gap</t>
  </si>
  <si>
    <t xml:space="preserve">Stipulations → G-00</t>
  </si>
  <si>
    <t xml:space="preserve">Canon (v5.3 meta-tier)</t>
  </si>
  <si>
    <t xml:space="preserve">R-0834</t>
  </si>
  <si>
    <t xml:space="preserve">FT:B</t>
  </si>
  <si>
    <t xml:space="preserve">Forcing Test / Container — Test B · Uniqueness — does exactly one candidate survive?</t>
  </si>
  <si>
    <t xml:space="preserve">R-0835</t>
  </si>
  <si>
    <t xml:space="preserve">FT:C</t>
  </si>
  <si>
    <t xml:space="preserve">Forcing Test / Container — Test C · Direction — what does the structure operate on?</t>
  </si>
  <si>
    <t xml:space="preserve">R-0836</t>
  </si>
  <si>
    <t xml:space="preserve">FT:D</t>
  </si>
  <si>
    <t xml:space="preserve">Forcing Test / Container — Test D · Falsifiability — state and execute the falsifier.</t>
  </si>
  <si>
    <t xml:space="preserve">R-0837</t>
  </si>
  <si>
    <t xml:space="preserve">FT:OUT</t>
  </si>
  <si>
    <t xml:space="preserve">Forcing Test / Container — Output the class: forced-fill · live hypothesis · stipulation · proven-open.</t>
  </si>
  <si>
    <t xml:space="preserve">R-0838</t>
  </si>
  <si>
    <t xml:space="preserve">FT:ANTI</t>
  </si>
  <si>
    <t xml:space="preserve">Forcing Test / Container — Anti-Operation — name the gap each fill opens (its conjugate); log it.</t>
  </si>
  <si>
    <t xml:space="preserve">R-0839</t>
  </si>
  <si>
    <t xml:space="preserve">FT:ZERO</t>
  </si>
  <si>
    <t xml:space="preserve">Forcing Test / Container — Perfection Criterion — zero hidden gaps; open centre stays proven-open, not sealed.</t>
  </si>
  <si>
    <t xml:space="preserve">R-0840</t>
  </si>
  <si>
    <t xml:space="preserve">VAR:Measured</t>
  </si>
  <si>
    <t xml:space="preserve">Variable Register — Label measured / empirically settled values.</t>
  </si>
  <si>
    <t xml:space="preserve">Variable Principle / Registers</t>
  </si>
  <si>
    <t xml:space="preserve">v5.1 L223–263</t>
  </si>
  <si>
    <t xml:space="preserve">New value or assumption</t>
  </si>
  <si>
    <t xml:space="preserve">Register row</t>
  </si>
  <si>
    <t xml:space="preserve">Measurements → G-00</t>
  </si>
  <si>
    <t xml:space="preserve">R-0841</t>
  </si>
  <si>
    <t xml:space="preserve">VAR:Derived</t>
  </si>
  <si>
    <t xml:space="preserve">Variable Register — Label structurally derived conclusions.</t>
  </si>
  <si>
    <t xml:space="preserve">R-0842</t>
  </si>
  <si>
    <t xml:space="preserve">VAR:Open</t>
  </si>
  <si>
    <t xml:space="preserve">Variable Register — Label held-open variables; never fill with assumption.</t>
  </si>
  <si>
    <t xml:space="preserve">R-0843</t>
  </si>
  <si>
    <t xml:space="preserve">VAR:Narrow</t>
  </si>
  <si>
    <t xml:space="preserve">Variable Register — Log each narrowing: what narrowed, what stayed open, what newly opened.</t>
  </si>
  <si>
    <t xml:space="preserve">R-0844</t>
  </si>
  <si>
    <t xml:space="preserve">UPDATE:Protocol</t>
  </si>
  <si>
    <t xml:space="preserve">Document Update Protocol: when evidence narrows a business variable, record the narrowing, the newly opened variables, and load it as substrate for the next cycle (never silently overwrite).</t>
  </si>
  <si>
    <t xml:space="preserve">Document Update Protocol</t>
  </si>
  <si>
    <t xml:space="preserve">v5.1 L204–222</t>
  </si>
  <si>
    <t xml:space="preserve">Per narrowing</t>
  </si>
  <si>
    <t xml:space="preserve">Evidence arrives</t>
  </si>
  <si>
    <t xml:space="preserve">Iteration entry</t>
  </si>
  <si>
    <t xml:space="preserve">R-0845</t>
  </si>
  <si>
    <t xml:space="preserve">CHARTER:G-00</t>
  </si>
  <si>
    <t xml:space="preserve">Charter — Holds the four things the framework cannot supply: the choice at every decision point, the naming of outcomes, situation-specific measurements, and the stance on held-open variables. Final authority over every agent.</t>
  </si>
  <si>
    <t xml:space="preserve">Agent charter (derived)</t>
  </si>
  <si>
    <t xml:space="preserve">Derived role charter</t>
  </si>
  <si>
    <t xml:space="preserve">R-0846</t>
  </si>
  <si>
    <t xml:space="preserve">CHARTER:G-01</t>
  </si>
  <si>
    <t xml:space="preserve">Charter — Classifies every open business question before it is acted on: forced-fill, live hypothesis, stipulation, or proven-open. Runs the Anti-Operation (what new gap does each fill open?). Enforces 'zero hidden gaps'.</t>
  </si>
  <si>
    <t xml:space="preserve">R-0847</t>
  </si>
  <si>
    <t xml:space="preserve">CHARTER:G-02</t>
  </si>
  <si>
    <t xml:space="preserve">Charter — Attaches a falsifier to every claim, plan, forecast, decision and mitigation; statuses each as resolved / bounded / held open / refuted.</t>
  </si>
  <si>
    <t xml:space="preserve">R-0848</t>
  </si>
  <si>
    <t xml:space="preserve">CHARTER:G-03</t>
  </si>
  <si>
    <t xml:space="preserve">Charter — Maintains the business Variable Register: every quantity marked measured / structurally derived / held open. Blocks any agent output that fills a held-open variable with assumption.</t>
  </si>
  <si>
    <t xml:space="preserve">R-0849</t>
  </si>
  <si>
    <t xml:space="preserve">CHARTER:G-04</t>
  </si>
  <si>
    <t xml:space="preserve">Charter — Runs the canon's 7-point self-audit checklist on every agent run: right algorithm, steps in order, variables held open, run documented, Correspondence applied, measured vs assumed separated, failed paths integrated.</t>
  </si>
  <si>
    <t xml:space="preserve">R-0850</t>
  </si>
  <si>
    <t xml:space="preserve">CHARTER:G-05</t>
  </si>
  <si>
    <t xml:space="preserve">Charter — Applies the AI Alignment Algorithm to this agent fleet itself: Third-Kingdom intent of each agent, observation at multiple levels, falsifiers for misalignment, downgrade paths, review at every capability scale-up.</t>
  </si>
  <si>
    <t xml:space="preserve">R-0851</t>
  </si>
  <si>
    <t xml:space="preserve">CHARTER:G-06</t>
  </si>
  <si>
    <t xml:space="preserve">Charter — Designs the decision-rights map between agents and humans (who decides, who escalates, who audits), the four-pillar soundness of that governance, and its multi-year review cycle.</t>
  </si>
  <si>
    <t xml:space="preserve">R-0852</t>
  </si>
  <si>
    <t xml:space="preserve">CHARTER:G-07</t>
  </si>
  <si>
    <t xml:space="preserve">Charter — Supports the operator's own operating capacity: time allocation by Kingdom, Yin/Yang energy cycles, habits, personal development — so the business is not run from First-Kingdom exhaustion.</t>
  </si>
  <si>
    <t xml:space="preserve">R-0853</t>
  </si>
  <si>
    <t xml:space="preserve">CHARTER:O-01</t>
  </si>
  <si>
    <t xml:space="preserve">Charter — First touch for every input entering the business (email, form, alert, request, idea). Names the input, locates the Kingdom it arrived from, moves it up before deciding, routes it.</t>
  </si>
  <si>
    <t xml:space="preserve">R-0854</t>
  </si>
  <si>
    <t xml:space="preserve">CHARTER:O-02</t>
  </si>
  <si>
    <t xml:space="preserve">Charter — Matches every problem to the right algorithm/agent via the Algorithm Index by Problem Type. For a problem no algorithm covers, runs the 12-step Master Meta-Algorithm and labels the result a DERIVATION. Runs Deep-Lens (A–L) for high-resolution diagnoses.</t>
  </si>
  <si>
    <t xml:space="preserve">R-0855</t>
  </si>
  <si>
    <t xml:space="preserve">CHARTER:O-03</t>
  </si>
  <si>
    <t xml:space="preserve">Charter — Enforces the 7-step cycle (Direct → Guide → Gather → Organize → Create → Database → Repetition) on every build, fix or extension in every department. Blocks Create until Organize is complete. Routes New Thought back into Gather.</t>
  </si>
  <si>
    <t xml:space="preserve">R-0856</t>
  </si>
  <si>
    <t xml:space="preserve">CHARTER:O-04</t>
  </si>
  <si>
    <t xml:space="preserve">Charter — Scores the business monthly on 9 departments × 4 pillars + 9 coordination scores (45 pts), interprets the band, runs Yin/Yang quadrant analysis against growth stage, and dispatches the lowest cell to the Shepherd's Way.</t>
  </si>
  <si>
    <t xml:space="preserve">R-0857</t>
  </si>
  <si>
    <t xml:space="preserve">CHARTER:O-05</t>
  </si>
  <si>
    <t xml:space="preserve">Charter — Diagnoses alignment of any system, team, process or agent: First (execution), Second (systems), Third (intent). Locates misalignment and corrects top-down.</t>
  </si>
  <si>
    <t xml:space="preserve">R-0858</t>
  </si>
  <si>
    <t xml:space="preserve">CHARTER:O-06</t>
  </si>
  <si>
    <t xml:space="preserve">Charter — When something is failing and nobody knows why, runs the seven-principle audit and names the deepest violation as the location of the systemic failure.</t>
  </si>
  <si>
    <t xml:space="preserve">R-0859</t>
  </si>
  <si>
    <t xml:space="preserve">CHARTER:O-07</t>
  </si>
  <si>
    <t xml:space="preserve">Charter — Watches every polarity in the business (outreach vs inbound, build vs rest, attack vs defend, upsell vs serve) and corrects drift toward Yang burnout or Yin paralysis. Re-locates the middle after each correction.</t>
  </si>
  <si>
    <t xml:space="preserve">R-0860</t>
  </si>
  <si>
    <t xml:space="preserve">CHARTER:O-08</t>
  </si>
  <si>
    <t xml:space="preserve">Charter — Detects stalled projects, campaigns or teams; identifies the gradient that powered them, whether it is intact/collapsing/collapsed, and seeds the next gradient deliberately.</t>
  </si>
  <si>
    <t xml:space="preserve">R-0861</t>
  </si>
  <si>
    <t xml:space="preserve">CHARTER:O-09</t>
  </si>
  <si>
    <t xml:space="preserve">Charter — For everything that must persist (client relationships, SOPs, decisions, culture), checks the observation levels maintaining it — physical artifact, someone remembering, institutional record — and builds the missing level.</t>
  </si>
  <si>
    <t xml:space="preserve">R-0862</t>
  </si>
  <si>
    <t xml:space="preserve">CHARTER:O-10</t>
  </si>
  <si>
    <t xml:space="preserve">Charter — Turns every failed path (lost deal, failed launch, churned client, bug, bad hire) into load-bearing information for the surviving network. Never deletes the failure record.</t>
  </si>
  <si>
    <t xml:space="preserve">R-0863</t>
  </si>
  <si>
    <t xml:space="preserve">CHARTER:O-11</t>
  </si>
  <si>
    <t xml:space="preserve">Charter — Before any scaling move, scores the infrastructure on Correctness, Complexity, Patience, Resilience; builds the weakest pillar first; scales only when all four are acceptable for current scale.</t>
  </si>
  <si>
    <t xml:space="preserve">R-0864</t>
  </si>
  <si>
    <t xml:space="preserve">CHARTER:O-12</t>
  </si>
  <si>
    <t xml:space="preserve">Charter — Locates any unfamiliar process (new client industry, new tool, inherited workflow) by its DETECT/PROCESS/RESPOND signatures; compares it with the canonical domain algorithms (holds Domains 8–10 as a Correspondence reference library).</t>
  </si>
  <si>
    <t xml:space="preserve">R-0865</t>
  </si>
  <si>
    <t xml:space="preserve">CHARTER:O-13</t>
  </si>
  <si>
    <t xml:space="preserve">Charter — Checks whether systems, automations and teams have the right density of interconnected operations: below threshold → add integration; above → decouple. Sets Fibonacci build order.</t>
  </si>
  <si>
    <t xml:space="preserve">R-0866</t>
  </si>
  <si>
    <t xml:space="preserve">CHARTER:O-14</t>
  </si>
  <si>
    <t xml:space="preserve">Charter — Makes sure every new cycle starts from all prior paths: loads prior attempts, failures and documentation into each new project's starting substrate.</t>
  </si>
  <si>
    <t xml:space="preserve">R-0867</t>
  </si>
  <si>
    <t xml:space="preserve">CHARTER:O-15</t>
  </si>
  <si>
    <t xml:space="preserve">Charter — 'If it isn't written, it isn't real.' Captures SOPs, Komodo recordings, transcripts, and sends same-day email recaps of every deliverable (what was done, value delivered, time spent).</t>
  </si>
  <si>
    <t xml:space="preserve">R-0868</t>
  </si>
  <si>
    <t xml:space="preserve">CHARTER:O-16</t>
  </si>
  <si>
    <t xml:space="preserve">Charter — Prepares every material decision: precise statement, Kingdom of origin, variables (measured vs open), gradient, Hermetic audit, dynamic middle, falsifier, documented expected outcome — then tracks actual vs predicted.</t>
  </si>
  <si>
    <t xml:space="preserve">R-0869</t>
  </si>
  <si>
    <t xml:space="preserve">CHARTER:O-17</t>
  </si>
  <si>
    <t xml:space="preserve">Charter — Resolves obstacles: precise problem, Kingdom, upstream causes, violated principle, gradient, middle solution, prior paths, falsifiable candidates, implement-observe-document.</t>
  </si>
  <si>
    <t xml:space="preserve">R-0870</t>
  </si>
  <si>
    <t xml:space="preserve">CHARTER:O-18</t>
  </si>
  <si>
    <t xml:space="preserve">Charter — Evaluates external and internal claims (vendor promises, market reports, competitor claims, prospect statements): assumptions filled, falsifiability, source Kingdom, cross-scale validity, status.</t>
  </si>
  <si>
    <t xml:space="preserve">R-0871</t>
  </si>
  <si>
    <t xml:space="preserve">CHARTER:O-19</t>
  </si>
  <si>
    <t xml:space="preserve">Charter — Confirms a crisis is real, stops First-Kingdom bleeding, centralizes command to the human locus, sequences triage → stabilization → root cause → prevention, documents in real time, integrates afterwards.</t>
  </si>
  <si>
    <t xml:space="preserve">R-0872</t>
  </si>
  <si>
    <t xml:space="preserve">CHARTER:O-20</t>
  </si>
  <si>
    <t xml:space="preserve">Charter — Finds patterns across CRM, support, finance and ops data by sorting on multiple axes; checks cross-scale recurrence; names variables; tests falsifiability; documents.</t>
  </si>
  <si>
    <t xml:space="preserve">R-0873</t>
  </si>
  <si>
    <t xml:space="preserve">CHARTER:O-21</t>
  </si>
  <si>
    <t xml:space="preserve">Charter — Synthesizes disparate inputs (Immersion captures, research, multi-department reports) into integrated understanding without collapsing real differences.</t>
  </si>
  <si>
    <t xml:space="preserve">R-0874</t>
  </si>
  <si>
    <t xml:space="preserve">CHARTER:O-22</t>
  </si>
  <si>
    <t xml:space="preserve">Charter — Answers open questions (market, client, technical, competitive) by narrowing the highest-leverage variable first; runs Scientific Inquiry for pure-understanding (Acquire-phase) questions; formal reasoning for analyses.</t>
  </si>
  <si>
    <t xml:space="preserve">R-0875</t>
  </si>
  <si>
    <t xml:space="preserve">CHARTER:STR-00</t>
  </si>
  <si>
    <t xml:space="preserve">Charter — Keeps the business's Third Kingdom (direction) explicit and current. Owns this hub's four-pillar self-score and its coordination score with the other eight hubs.</t>
  </si>
  <si>
    <t xml:space="preserve">R-0876</t>
  </si>
  <si>
    <t xml:space="preserve">CHARTER:STR-01</t>
  </si>
  <si>
    <t xml:space="preserve">Charter — Facilitates the Selfish–Selfless calibration with the founder to find the φ convergence point, then filters every major initiative: does it compound toward the convergence point or away?</t>
  </si>
  <si>
    <t xml:space="preserve">R-0877</t>
  </si>
  <si>
    <t xml:space="preserve">CHARTER:STR-02</t>
  </si>
  <si>
    <t xml:space="preserve">Charter — Maintains the written constitution of the business — values and governing principles every hub operates within — and checks new SOPs and agent charters against it.</t>
  </si>
  <si>
    <t xml:space="preserve">R-0878</t>
  </si>
  <si>
    <t xml:space="preserve">CHARTER:STR-03</t>
  </si>
  <si>
    <t xml:space="preserve">Charter — Runs the Strategic Planning Algorithm each quarter: horizon, Three Kingdoms diagnosis, gap, Fibonacci build path, gradients, BEAS by step, risk middle, falsifiers, documented assumptions; monthly review.</t>
  </si>
  <si>
    <t xml:space="preserve">R-0879</t>
  </si>
  <si>
    <t xml:space="preserve">CHARTER:STR-04</t>
  </si>
  <si>
    <t xml:space="preserve">Charter — Reads supply/demand signals, price mechanisms and market cycle phase; states positioning and the conditions under which it would be wrong.</t>
  </si>
  <si>
    <t xml:space="preserve">R-0880</t>
  </si>
  <si>
    <t xml:space="preserve">CHARTER:STR-05</t>
  </si>
  <si>
    <t xml:space="preserve">Charter — Keeps the risk register across the four pillars, prioritises cascade (Texas-grid) risks regardless of probability, defines a downgrade path for every major risk, instruments early warnings, reviews monthly.</t>
  </si>
  <si>
    <t xml:space="preserve">R-0881</t>
  </si>
  <si>
    <t xml:space="preserve">CHARTER:STR-06</t>
  </si>
  <si>
    <t xml:space="preserve">Charter — Works the boundary of held-open variables: generates options unfiltered, falsifies cheapest-first, builds MVPs, field-tests, integrates failed prototypes.</t>
  </si>
  <si>
    <t xml:space="preserve">R-0882</t>
  </si>
  <si>
    <t xml:space="preserve">CHARTER:MKT-00</t>
  </si>
  <si>
    <t xml:space="preserve">Charter — Owns ACE Stage 01 — everything that grabs attention and brings it into the system — balancing Yang outbound and Yin inbound. Owns this hub's four-pillar self-score and its coordination score with the other eight hubs.</t>
  </si>
  <si>
    <t xml:space="preserve">R-0883</t>
  </si>
  <si>
    <t xml:space="preserve">CHARTER:MKT-01</t>
  </si>
  <si>
    <t xml:space="preserve">Charter — Runs active outreach so top-of-funnel never depends on inbound alone; qualifies before volume.</t>
  </si>
  <si>
    <t xml:space="preserve">R-0884</t>
  </si>
  <si>
    <t xml:space="preserve">CHARTER:MKT-02</t>
  </si>
  <si>
    <t xml:space="preserve">Charter — Builds and optimizes inbound systems (traffic, landing pages, forms) that capture attention without manual effort.</t>
  </si>
  <si>
    <t xml:space="preserve">R-0885</t>
  </si>
  <si>
    <t xml:space="preserve">CHARTER:MKT-03</t>
  </si>
  <si>
    <t xml:space="preserve">Charter — Centralizes every lead channel into Lead Connector, tags each lead with source, campaign and hot buttons at capture, tracks channel ROI at capture and recommends reallocation to the highest converters.</t>
  </si>
  <si>
    <t xml:space="preserve">R-0886</t>
  </si>
  <si>
    <t xml:space="preserve">CHARTER:MKT-04</t>
  </si>
  <si>
    <t xml:space="preserve">Charter — Extends brand reach at the brand's frequency to frequency-matched audiences; keeps every touchpoint consistent (Correspondence).</t>
  </si>
  <si>
    <t xml:space="preserve">R-0887</t>
  </si>
  <si>
    <t xml:space="preserve">CHARTER:MKT-05</t>
  </si>
  <si>
    <t xml:space="preserve">Charter — Distributes Content Hub output (case studies, recordings, articles, University material) across channels on a rhythm.</t>
  </si>
  <si>
    <t xml:space="preserve">R-0888</t>
  </si>
  <si>
    <t xml:space="preserve">CHARTER:MKT-06</t>
  </si>
  <si>
    <t xml:space="preserve">Charter — Prepares talks, webinars, announcements and key messages: audience frequency first, gradient, density, rhythm, and a specific cause (call to action) at the end.</t>
  </si>
  <si>
    <t xml:space="preserve">R-0889</t>
  </si>
  <si>
    <t xml:space="preserve">CHARTER:SAL-00</t>
  </si>
  <si>
    <t xml:space="preserve">Charter — Owns ACE Stage 02 — converting attention into a deal — and the full Sales Algorithm. 'Process beats pitch, always.' Owns this hub's four-pillar self-score and its coordination score with the other eight hubs.</t>
  </si>
  <si>
    <t xml:space="preserve">R-0890</t>
  </si>
  <si>
    <t xml:space="preserve">CHARTER:SAL-01</t>
  </si>
  <si>
    <t xml:space="preserve">Charter — Replies to every inbound lead instantly — zero lag automated first contact — and moves it to 'Contacted'.</t>
  </si>
  <si>
    <t xml:space="preserve">R-0891</t>
  </si>
  <si>
    <t xml:space="preserve">CHARTER:SAL-02</t>
  </si>
  <si>
    <t xml:space="preserve">Charter — Qualifies quickly through automated short surveys; moves lead to Qualified or recycles to nurture.</t>
  </si>
  <si>
    <t xml:space="preserve">R-0892</t>
  </si>
  <si>
    <t xml:space="preserve">CHARTER:SAL-03</t>
  </si>
  <si>
    <t xml:space="preserve">Charter — Maintains the 8-stage pipeline (New Lead → Contacted → Qualified → Appointment Set → Show → Proposal → Closed Won / Closed Lost) with a follow-up automation on every stage so no lead falls through without a trigger.</t>
  </si>
  <si>
    <t xml:space="preserve">R-0893</t>
  </si>
  <si>
    <t xml:space="preserve">CHARTER:SAL-04</t>
  </si>
  <si>
    <t xml:space="preserve">Charter — Books qualified leads into calls and drives show-up (reminders, confirmations, reschedules).</t>
  </si>
  <si>
    <t xml:space="preserve">R-0894</t>
  </si>
  <si>
    <t xml:space="preserve">CHARTER:SAL-05</t>
  </si>
  <si>
    <t xml:space="preserve">Charter — Supports the human closer through the 7-step script — Permission, Discovery, Pain Excavation, Vision Pull, Solution Bridge, Offer + Stack, Close + Handoff — honoring each step's Yin/Yang phase. Prepares pre-call briefs; prompts future pacing.</t>
  </si>
  <si>
    <t xml:space="preserve">R-0895</t>
  </si>
  <si>
    <t xml:space="preserve">CHARTER:SAL-06</t>
  </si>
  <si>
    <t xml:space="preserve">Charter — Treats every objection as a variable: Isolate the real one, Acknowledge (match frequency), Clarify precisely, Eliminate with evidence or Escalate honestly. Maintains the objection library.</t>
  </si>
  <si>
    <t xml:space="preserve">R-0896</t>
  </si>
  <si>
    <t xml:space="preserve">CHARTER:SAL-07</t>
  </si>
  <si>
    <t xml:space="preserve">Charter — Maintains the three-tier offer stack — Tier 1 Software Only, Tier 2 Done-For-You, Tier 3 Custom Enterprise — so every prospect has a landing point and can self-select.</t>
  </si>
  <si>
    <t xml:space="preserve">R-0897</t>
  </si>
  <si>
    <t xml:space="preserve">CHARTER:SAL-08</t>
  </si>
  <si>
    <t xml:space="preserve">Charter — Populates proposals and contracts from call notes; documents call notes, deliverables and contract terms.</t>
  </si>
  <si>
    <t xml:space="preserve">R-0898</t>
  </si>
  <si>
    <t xml:space="preserve">CHARTER:SAL-09</t>
  </si>
  <si>
    <t xml:space="preserve">Charter — Records and tags every call in Lead Connector, scores script adherence per step, feeds coaching.</t>
  </si>
  <si>
    <t xml:space="preserve">R-0899</t>
  </si>
  <si>
    <t xml:space="preserve">CHARTER:SAL-10</t>
  </si>
  <si>
    <t xml:space="preserve">Charter — Prepares and supports negotiations (deals, partnerships, renewals): gradient, interests vs positions, polarity, dynamic middle, I.A.C.E., close or honestly walk away, document immediately.</t>
  </si>
  <si>
    <t xml:space="preserve">R-0900</t>
  </si>
  <si>
    <t xml:space="preserve">CHARTER:SAL-11</t>
  </si>
  <si>
    <t xml:space="preserve">Charter — Moves Closed Won deals to onboarding with full context preserved (notes, pains, vision, tier, promises).</t>
  </si>
  <si>
    <t xml:space="preserve">R-0901</t>
  </si>
  <si>
    <t xml:space="preserve">CHARTER:SAL-12</t>
  </si>
  <si>
    <t xml:space="preserve">Charter — Measures conversion at every funnel step, identifies the lowest-conversion step and gets it fixed before anything else is optimized.</t>
  </si>
  <si>
    <t xml:space="preserve">R-0902</t>
  </si>
  <si>
    <t xml:space="preserve">CHARTER:OPS-00</t>
  </si>
  <si>
    <t xml:space="preserve">Charter — Owns reliable delivery — the utilities and supply chain of the business. Owns this hub's four-pillar self-score and its coordination score with the other eight hubs.</t>
  </si>
  <si>
    <t xml:space="preserve">R-0903</t>
  </si>
  <si>
    <t xml:space="preserve">CHARTER:OPS-01</t>
  </si>
  <si>
    <t xml:space="preserve">Charter — Delivers each product/service per the client blueprint and roadmap; logs every deliverable.</t>
  </si>
  <si>
    <t xml:space="preserve">R-0904</t>
  </si>
  <si>
    <t xml:space="preserve">CHARTER:OPS-02</t>
  </si>
  <si>
    <t xml:space="preserve">Charter — Enforces Pillar I: blueprint review before any build, automations tested before launch, SOP conformance, Komodo recording of every session.</t>
  </si>
  <si>
    <t xml:space="preserve">R-0905</t>
  </si>
  <si>
    <t xml:space="preserve">CHARTER:OPS-03</t>
  </si>
  <si>
    <t xml:space="preserve">Charter — Runs projects: one-sentence outcome, phases with owner and falsifier, dependency graph, Fibonacci sequencing, critical path, project-level BEAS, weekly Shepherd's Way cycles, explicit scope-change logging, close with lessons.</t>
  </si>
  <si>
    <t xml:space="preserve">R-0906</t>
  </si>
  <si>
    <t xml:space="preserve">CHARTER:OPS-04</t>
  </si>
  <si>
    <t xml:space="preserve">Charter — Selects and manages vendors and contractors on Correctness, Complexity and Resilience; ensures a downgrade path for each; documents contracts with variables held open; monthly performance review.</t>
  </si>
  <si>
    <t xml:space="preserve">R-0907</t>
  </si>
  <si>
    <t xml:space="preserve">CHARTER:OPS-05</t>
  </si>
  <si>
    <t xml:space="preserve">Charter — Executes the client build phase against the approved blueprint: every session recorded, every deliverable emailed same day.</t>
  </si>
  <si>
    <t xml:space="preserve">R-0908</t>
  </si>
  <si>
    <t xml:space="preserve">CHARTER:FIN-00</t>
  </si>
  <si>
    <t xml:space="preserve">Charter — Owns capital control: stores, allocates and accounts for all capital flows. Owns this hub's four-pillar self-score and its coordination score with the other eight hubs.</t>
  </si>
  <si>
    <t xml:space="preserve">R-0909</t>
  </si>
  <si>
    <t xml:space="preserve">CHARTER:FIN-01</t>
  </si>
  <si>
    <t xml:space="preserve">Charter — Prepares capital-deployment decisions: Kingdom of origin, variables, gradient, information density, falsifier and reversal threshold, risk middle, documented rationale, monthly review.</t>
  </si>
  <si>
    <t xml:space="preserve">R-0910</t>
  </si>
  <si>
    <t xml:space="preserve">CHARTER:FIN-02</t>
  </si>
  <si>
    <t xml:space="preserve">Charter — Builds and maintains budgets aligned to the quarterly plan and the Fibonacci build sequence; flags overruns.</t>
  </si>
  <si>
    <t xml:space="preserve">R-0911</t>
  </si>
  <si>
    <t xml:space="preserve">CHARTER:FIN-03</t>
  </si>
  <si>
    <t xml:space="preserve">Charter — Forecasts revenue, cash and capacity with precise variable, date and confidence interval; states falsifiers; reviews accuracy each cycle.</t>
  </si>
  <si>
    <t xml:space="preserve">R-0912</t>
  </si>
  <si>
    <t xml:space="preserve">CHARTER:FIN-04</t>
  </si>
  <si>
    <t xml:space="preserve">Charter — Produces monthly financial reports from documented records; feeds BEAS Finance row evidence.</t>
  </si>
  <si>
    <t xml:space="preserve">R-0913</t>
  </si>
  <si>
    <t xml:space="preserve">CHARTER:FIN-05</t>
  </si>
  <si>
    <t xml:space="preserve">Charter — Calculates and records commissions from Closed Won data and agreed plans.</t>
  </si>
  <si>
    <t xml:space="preserve">R-0914</t>
  </si>
  <si>
    <t xml:space="preserve">CHARTER:FIN-06</t>
  </si>
  <si>
    <t xml:space="preserve">Charter — Maintains pricing for the three tiers and the $297 downgrade path; reads price signals; documents rationale.</t>
  </si>
  <si>
    <t xml:space="preserve">R-0915</t>
  </si>
  <si>
    <t xml:space="preserve">CHARTER:FIN-07</t>
  </si>
  <si>
    <t xml:space="preserve">Charter — Accounts for all capital flows (invoicing, receipts, payables, reconciliation) so the Treasury function is complete.</t>
  </si>
  <si>
    <t xml:space="preserve">R-0916</t>
  </si>
  <si>
    <t xml:space="preserve">CHARTER:HRC-00</t>
  </si>
  <si>
    <t xml:space="preserve">Charter — Owns standards, dispute resolution and human development — the courts and labor institutions of the business. Owns this hub's four-pillar self-score and its coordination score with the other eight hubs.</t>
  </si>
  <si>
    <t xml:space="preserve">R-0917</t>
  </si>
  <si>
    <t xml:space="preserve">CHARTER:HRC-01</t>
  </si>
  <si>
    <t xml:space="preserve">Charter — Runs Hiring steps 1–7: role's structural purpose, four-pillar requirements, multi-channel sourcing without premature filtering, pillar scoring, Three Kingdoms diagnosis, frequency match, reference checks.</t>
  </si>
  <si>
    <t xml:space="preserve">R-0918</t>
  </si>
  <si>
    <t xml:space="preserve">CHARTER:HRC-02</t>
  </si>
  <si>
    <t xml:space="preserve">Charter — Builds offers at the dynamic middle of compensation — enough to attract, not distorting internal equity; maintains compensation structure.</t>
  </si>
  <si>
    <t xml:space="preserve">R-0919</t>
  </si>
  <si>
    <t xml:space="preserve">CHARTER:HRC-03</t>
  </si>
  <si>
    <t xml:space="preserve">Charter — Onboards hires via the Immersion Model: full data capture, structured intake, blueprint of role expectations, documented playbook.</t>
  </si>
  <si>
    <t xml:space="preserve">R-0920</t>
  </si>
  <si>
    <t xml:space="preserve">CHARTER:HRC-04</t>
  </si>
  <si>
    <t xml:space="preserve">Charter — Runs probationary reviews at 30/60/90 days and ongoing reviews, applying BEAS (four pillars) to role fit.</t>
  </si>
  <si>
    <t xml:space="preserve">R-0921</t>
  </si>
  <si>
    <t xml:space="preserve">CHARTER:HRC-05</t>
  </si>
  <si>
    <t xml:space="preserve">Charter — Designs and documents team rituals and norms so processes become cultural assumptions (Propagation Mode 5 — Cultural Embedding).</t>
  </si>
  <si>
    <t xml:space="preserve">R-0922</t>
  </si>
  <si>
    <t xml:space="preserve">CHARTER:HRC-06</t>
  </si>
  <si>
    <t xml:space="preserve">Charter — Designs roles, reporting lines and the human/agent org structure; keeps this agent map current.</t>
  </si>
  <si>
    <t xml:space="preserve">R-0923</t>
  </si>
  <si>
    <t xml:space="preserve">CHARTER:HRC-07</t>
  </si>
  <si>
    <t xml:space="preserve">Charter — Builds capability: Learning and Skill Acquisition plans, mentoring structures, habit systems for the team.</t>
  </si>
  <si>
    <t xml:space="preserve">R-0924</t>
  </si>
  <si>
    <t xml:space="preserve">CHARTER:HRC-08</t>
  </si>
  <si>
    <t xml:space="preserve">Charter — Mediates conflicts between people (and flags conflicting agent outputs): locate the axis, match frequencies, discover interests, find shared interest and the middle, confirm through behavior, document the principle.</t>
  </si>
  <si>
    <t xml:space="preserve">R-0925</t>
  </si>
  <si>
    <t xml:space="preserve">CHARTER:HRC-09</t>
  </si>
  <si>
    <t xml:space="preserve">Charter — Structures team meetings and workshops: group Kingdom, gradient, frequency, energy middle, structure plus space, explicit causes, documented outcomes.</t>
  </si>
  <si>
    <t xml:space="preserve">R-0926</t>
  </si>
  <si>
    <t xml:space="preserve">CHARTER:HRC-10</t>
  </si>
  <si>
    <t xml:space="preserve">Charter — Maps regulatory requirements, holds ambiguous rules as bounded variables, sequences baseline compliance before optimization, keeps audit-ready records continuously, quarterly review.</t>
  </si>
  <si>
    <t xml:space="preserve">R-0927</t>
  </si>
  <si>
    <t xml:space="preserve">CHARTER:TEC-00</t>
  </si>
  <si>
    <t xml:space="preserve">Charter — Owns the communications network of the business: platform, automation, CRM, integrations, AI, security. Owns this hub's four-pillar self-score and its coordination score with the other eight hubs.</t>
  </si>
  <si>
    <t xml:space="preserve">R-0928</t>
  </si>
  <si>
    <t xml:space="preserve">CHARTER:TEC-01</t>
  </si>
  <si>
    <t xml:space="preserve">Charter — Designs system architecture: purpose, actors and flows, Three Kingdoms per component, gradients, resilience decoupling, density, written + diagram docs, observability, review at each Fibonacci step.</t>
  </si>
  <si>
    <t xml:space="preserve">R-0929</t>
  </si>
  <si>
    <t xml:space="preserve">CHARTER:TEC-02</t>
  </si>
  <si>
    <t xml:space="preserve">Charter — Builds and maintains n8n automations (Propagation Mode 4 — System-Building) so processes run without human bottlenecks; tests before launch.</t>
  </si>
  <si>
    <t xml:space="preserve">R-0930</t>
  </si>
  <si>
    <t xml:space="preserve">CHARTER:TEC-03</t>
  </si>
  <si>
    <t xml:space="preserve">Charter — Owns CRM configuration: pipelines, stages, tags, follow-up sequences, fields, permissions.</t>
  </si>
  <si>
    <t xml:space="preserve">R-0931</t>
  </si>
  <si>
    <t xml:space="preserve">CHARTER:TEC-04</t>
  </si>
  <si>
    <t xml:space="preserve">Charter — Connects tools so there are 'no isolated tools' (Pillar II); monitors integration health.</t>
  </si>
  <si>
    <t xml:space="preserve">R-0932</t>
  </si>
  <si>
    <t xml:space="preserve">CHARTER:TEC-05</t>
  </si>
  <si>
    <t xml:space="preserve">Charter — Builds and maintains the business's AI workflows (including Flows AI and these agents), implementing G-05's alignment instrumentation.</t>
  </si>
  <si>
    <t xml:space="preserve">R-0933</t>
  </si>
  <si>
    <t xml:space="preserve">CHARTER:TEC-06</t>
  </si>
  <si>
    <t xml:space="preserve">Charter — Protects systems and data: access control, credential hygiene, incident detection; coordinates with Crisis Coordinator on incidents.</t>
  </si>
  <si>
    <t xml:space="preserve">R-0934</t>
  </si>
  <si>
    <t xml:space="preserve">CHARTER:TEC-07</t>
  </si>
  <si>
    <t xml:space="preserve">Charter — Builds custom software: one-sentence problem, requirements, constraints, architecture first, Fibonacci increments, falsifying tests, documented assumptions, deploy, integrate production failures.</t>
  </si>
  <si>
    <t xml:space="preserve">R-0935</t>
  </si>
  <si>
    <t xml:space="preserve">CHARTER:TEC-08</t>
  </si>
  <si>
    <t xml:space="preserve">Charter — Logging, monitoring and alerting on every system — 'what is unobserved degrades silently'.</t>
  </si>
  <si>
    <t xml:space="preserve">R-0936</t>
  </si>
  <si>
    <t xml:space="preserve">CHARTER:CS-00</t>
  </si>
  <si>
    <t xml:space="preserve">Charter — Owns ACE Stage 03 — retention, referrals and upsells; lifetime value is created here. Owns this hub's four-pillar self-score and its coordination score with the other eight hubs.</t>
  </si>
  <si>
    <t xml:space="preserve">R-0937</t>
  </si>
  <si>
    <t xml:space="preserve">CHARTER:CS-01</t>
  </si>
  <si>
    <t xml:space="preserve">Charter — 1–2 days before Immersion: reviews all client materials, lists known knowns / unknowns / gaps, builds the intake structure and question set.</t>
  </si>
  <si>
    <t xml:space="preserve">R-0938</t>
  </si>
  <si>
    <t xml:space="preserve">CHARTER:CS-02</t>
  </si>
  <si>
    <t xml:space="preserve">Charter — Supports the Immersion day: calibration (frame as data collection), then 6–12 h full capture on Komodo — workflows, tribal knowledge, team dynamics, pain points, tools, revenue flows, customer journey, founder vision. No interpretation.</t>
  </si>
  <si>
    <t xml:space="preserve">R-0939</t>
  </si>
  <si>
    <t xml:space="preserve">CHARTER:CS-03</t>
  </si>
  <si>
    <t xml:space="preserve">Charter — Organizes the raw capture by department, maps dependencies, flags contradictions; delivers within 48 hours a written blueprint: current-state Three Kingdoms map, gaps, Fibonacci build sequence, BEAS baseline, 90-day roadmap.</t>
  </si>
  <si>
    <t xml:space="preserve">R-0940</t>
  </si>
  <si>
    <t xml:space="preserve">CHARTER:CS-04</t>
  </si>
  <si>
    <t xml:space="preserve">Charter — Owns the client relationship through build: first measurable result within 30 days, engagement intensity at the dynamic middle, issues routed.</t>
  </si>
  <si>
    <t xml:space="preserve">R-0941</t>
  </si>
  <si>
    <t xml:space="preserve">CHARTER:CS-05</t>
  </si>
  <si>
    <t xml:space="preserve">Charter — Handles support: listen until the real interest is visible, match frequency, identify the principle at play, resolve at the right Kingdom (replace / fix process / restore trust), log in CRM, confirm resolution.</t>
  </si>
  <si>
    <t xml:space="preserve">R-0942</t>
  </si>
  <si>
    <t xml:space="preserve">CHARTER:CS-06</t>
  </si>
  <si>
    <t xml:space="preserve">Charter — Delivers the monthly BEAS review and progress report to each client — First-Kingdom results from Second-Kingdom systems built. 'The report IS the upsell trigger.'</t>
  </si>
  <si>
    <t xml:space="preserve">R-0943</t>
  </si>
  <si>
    <t xml:space="preserve">CHARTER:CS-07</t>
  </si>
  <si>
    <t xml:space="preserve">Charter — Measures satisfaction (NPS), captures feedback, feeds patterns to product/ops.</t>
  </si>
  <si>
    <t xml:space="preserve">R-0944</t>
  </si>
  <si>
    <t xml:space="preserve">CHARTER:CS-08</t>
  </si>
  <si>
    <t xml:space="preserve">Charter — Detects churn risk early and offers the $297 downgrade path instead of full cancellation.</t>
  </si>
  <si>
    <t xml:space="preserve">R-0945</t>
  </si>
  <si>
    <t xml:space="preserve">CHARTER:CS-09</t>
  </si>
  <si>
    <t xml:space="preserve">Charter — Triggers the expansion sequence after the first successful deliverable: automated referral sequences, hour-bonus upgrade conversations, upsell timing at the Yin/Yang middle.</t>
  </si>
  <si>
    <t xml:space="preserve">R-0946</t>
  </si>
  <si>
    <t xml:space="preserve">CHARTER:CS-10</t>
  </si>
  <si>
    <t xml:space="preserve">Charter — Runs the quarterly re-capture: update the client's blueprint and identify the next Fibonacci step.</t>
  </si>
  <si>
    <t xml:space="preserve">R-0947</t>
  </si>
  <si>
    <t xml:space="preserve">CHARTER:CS-11</t>
  </si>
  <si>
    <t xml:space="preserve">Charter — Builds the client community and social network that create stickiness beyond the product; applies Movement Building so the methodology propagates through all five modes.</t>
  </si>
  <si>
    <t xml:space="preserve">R-0948</t>
  </si>
  <si>
    <t xml:space="preserve">CHARTER:CON-00</t>
  </si>
  <si>
    <t xml:space="preserve">Charter — Owns propagation: the libraries and education system that store and transmit the knowledge base. Owns this hub's four-pillar self-score and its coordination score with the other eight hubs.</t>
  </si>
  <si>
    <t xml:space="preserve">R-0949</t>
  </si>
  <si>
    <t xml:space="preserve">CHARTER:CON-01</t>
  </si>
  <si>
    <t xml:space="preserve">Charter — Creates new intellectual property (frameworks, products, courses) through the Creative Work Algorithm.</t>
  </si>
  <si>
    <t xml:space="preserve">R-0950</t>
  </si>
  <si>
    <t xml:space="preserve">CHARTER:CON-02</t>
  </si>
  <si>
    <t xml:space="preserve">Charter — Produces recordings, case studies and testimonials — results that do the marketing.</t>
  </si>
  <si>
    <t xml:space="preserve">R-0951</t>
  </si>
  <si>
    <t xml:space="preserve">CHARTER:CON-03</t>
  </si>
  <si>
    <t xml:space="preserve">Charter — Keeps the SOP library and methodology documentation complete, current and transferable.</t>
  </si>
  <si>
    <t xml:space="preserve">R-0952</t>
  </si>
  <si>
    <t xml:space="preserve">CHARTER:CON-04</t>
  </si>
  <si>
    <t xml:space="preserve">Charter — Defines and documents brand standards (Third-Kingdom purpose, convergence point, frequency, language/visual/experience encoding) and iterates them with each market interaction.</t>
  </si>
  <si>
    <t xml:space="preserve">R-0953</t>
  </si>
  <si>
    <t xml:space="preserve">CHARTER:CON-05</t>
  </si>
  <si>
    <t xml:space="preserve">Charter — Builds courses and mentoring material (Mode 1 Direct Teaching at scale) with the Teaching and Mentoring Algorithm.</t>
  </si>
  <si>
    <t xml:space="preserve">R-0954</t>
  </si>
  <si>
    <t xml:space="preserve">CHARTER:CON-06</t>
  </si>
  <si>
    <t xml:space="preserve">Charter — Writes long-form, emails, docs and copy: reader, gradient, structure before prose, precise words, subtractive edit, read-aloud test; precise communication.</t>
  </si>
  <si>
    <t xml:space="preserve">R-0955</t>
  </si>
  <si>
    <t xml:space="preserve">CHARTER:CON-07</t>
  </si>
  <si>
    <t xml:space="preserve">Charter — Maintains the searchable library of proof (results, testimonials, before/after BEAS) for sales and marketing.</t>
  </si>
  <si>
    <t xml:space="preserve">R-0956</t>
  </si>
  <si>
    <t xml:space="preserve">CHARTER:CON-08</t>
  </si>
  <si>
    <t xml:space="preserve">Charter — Organisational memory: multi-level storage, dense cross-links, spaced review of key knowledge, everything beyond recall horizon documented.</t>
  </si>
  <si>
    <t xml:space="preserve">Algorithm</t>
  </si>
  <si>
    <t xml:space="preserve">Category</t>
  </si>
  <si>
    <t xml:space="preserve">Steps in Canon (parsed)</t>
  </si>
  <si>
    <t xml:space="preserve">Steps Mapped</t>
  </si>
  <si>
    <t xml:space="preserve">Unmapped</t>
  </si>
  <si>
    <t xml:space="preserve">Primary Owner</t>
  </si>
  <si>
    <t xml:space="preserve">All Owners</t>
  </si>
  <si>
    <t xml:space="preserve">Coverage Status</t>
  </si>
  <si>
    <t xml:space="preserve">Meta</t>
  </si>
  <si>
    <t xml:space="preserve">v5.1 L2178–2203</t>
  </si>
  <si>
    <t xml:space="preserve">Assigned</t>
  </si>
  <si>
    <t xml:space="preserve">Per-layer</t>
  </si>
  <si>
    <t xml:space="preserve">v5.1 L2250–2267</t>
  </si>
  <si>
    <t xml:space="preserve">v5.1 L2270–2287</t>
  </si>
  <si>
    <t xml:space="preserve">v5.1 L2290–2307</t>
  </si>
  <si>
    <t xml:space="preserve">v5.1 L2310–2329</t>
  </si>
  <si>
    <t xml:space="preserve">v5.1 L2332–2351</t>
  </si>
  <si>
    <t xml:space="preserve">v5.1 L2354–2371</t>
  </si>
  <si>
    <t xml:space="preserve">v5.1 L2374–2391</t>
  </si>
  <si>
    <t xml:space="preserve">v5.1 L2394–2415</t>
  </si>
  <si>
    <t xml:space="preserve">v5.1 L2418–2435</t>
  </si>
  <si>
    <t xml:space="preserve">v5.1 L2438–2455</t>
  </si>
  <si>
    <t xml:space="preserve">v5.1 L2458–2475</t>
  </si>
  <si>
    <t xml:space="preserve">CON-00, G-00, STR-01</t>
  </si>
  <si>
    <t xml:space="preserve">Assigned (founder decides steps 1, 2, 5)</t>
  </si>
  <si>
    <t xml:space="preserve">v5.1 L2478–2495</t>
  </si>
  <si>
    <t xml:space="preserve">O-03, O-04</t>
  </si>
  <si>
    <t xml:space="preserve">v5.1 L2498–2515</t>
  </si>
  <si>
    <t xml:space="preserve">O-03, O-15</t>
  </si>
  <si>
    <t xml:space="preserve">v5.1 L2518–2535</t>
  </si>
  <si>
    <t xml:space="preserve">CS-09, MKT-00, SAL-00, SAL-03, SAL-05, SAL-06, SAL-12</t>
  </si>
  <si>
    <t xml:space="preserve">v5.1 L2538–2555</t>
  </si>
  <si>
    <t xml:space="preserve">Business operations</t>
  </si>
  <si>
    <t xml:space="preserve">v5.1 L2572–2591</t>
  </si>
  <si>
    <t xml:space="preserve">v5.1 L2620–2647</t>
  </si>
  <si>
    <t xml:space="preserve">CS-09, MKT-03, SAL-01, SAL-05, SAL-06, SAL-07, SAL-08, SAL-11</t>
  </si>
  <si>
    <t xml:space="preserve">HRC-01, HRC-02, HRC-03, HRC-04</t>
  </si>
  <si>
    <t xml:space="preserve">Assigned (hire decision human)</t>
  </si>
  <si>
    <t xml:space="preserve">v5.1 L2674–2695</t>
  </si>
  <si>
    <t xml:space="preserve">CS-01, CS-02, CS-03, CS-04, CS-06, CS-10, O-15, OPS-05</t>
  </si>
  <si>
    <t xml:space="preserve">G-00, O-16</t>
  </si>
  <si>
    <t xml:space="preserve">Assigned (choice human)</t>
  </si>
  <si>
    <t xml:space="preserve">v5.1 L2722–2741</t>
  </si>
  <si>
    <t xml:space="preserve">Life domain → operator</t>
  </si>
  <si>
    <t xml:space="preserve">v5.1 L2772–2789</t>
  </si>
  <si>
    <t xml:space="preserve">Assigned (operator support, human-led)</t>
  </si>
  <si>
    <t xml:space="preserve">Life domain</t>
  </si>
  <si>
    <t xml:space="preserve">v5.1 L2792–2811</t>
  </si>
  <si>
    <t xml:space="preserve">v5.1 L2814–2833</t>
  </si>
  <si>
    <t xml:space="preserve">Life domain → business capital</t>
  </si>
  <si>
    <t xml:space="preserve">Scientific &amp; cognitive</t>
  </si>
  <si>
    <t xml:space="preserve">v5.1 L2864–2885</t>
  </si>
  <si>
    <t xml:space="preserve">v5.1 L2888–2907</t>
  </si>
  <si>
    <t xml:space="preserve">Creative &amp; communication</t>
  </si>
  <si>
    <t xml:space="preserve">v5.1 L3004–3023</t>
  </si>
  <si>
    <t xml:space="preserve">v5.1 L3026–3045</t>
  </si>
  <si>
    <t xml:space="preserve">v5.1 L3048–3069</t>
  </si>
  <si>
    <t xml:space="preserve">Universal process domain</t>
  </si>
  <si>
    <t xml:space="preserve">v5.1 L3076–3093</t>
  </si>
  <si>
    <t xml:space="preserve">v5.1 L3096–3113</t>
  </si>
  <si>
    <t xml:space="preserve">v5.1 L3116–3135</t>
  </si>
  <si>
    <t xml:space="preserve">Human-reserved (psychological care is not delegated to agents)</t>
  </si>
  <si>
    <t xml:space="preserve">v5.1 L3138–3155</t>
  </si>
  <si>
    <t xml:space="preserve">Assigned (information overwhelm triage)</t>
  </si>
  <si>
    <t xml:space="preserve">v5.1 L3158–3175</t>
  </si>
  <si>
    <t xml:space="preserve">Assigned (formal analysis)</t>
  </si>
  <si>
    <t xml:space="preserve">v5.1 L3178–3195</t>
  </si>
  <si>
    <t xml:space="preserve">Assigned (precise communication)</t>
  </si>
  <si>
    <t xml:space="preserve">v5.1 L3198–3217</t>
  </si>
  <si>
    <t xml:space="preserve">v5.1 L3220–3237</t>
  </si>
  <si>
    <t xml:space="preserve">Reference library (Correspondence lookup)</t>
  </si>
  <si>
    <t xml:space="preserve">v5.1 L3240–3257</t>
  </si>
  <si>
    <t xml:space="preserve">v5.1 L3260–3277</t>
  </si>
  <si>
    <t xml:space="preserve">Extended business</t>
  </si>
  <si>
    <t xml:space="preserve">G-00, O-19</t>
  </si>
  <si>
    <t xml:space="preserve">Assigned (command locus human)</t>
  </si>
  <si>
    <t xml:space="preserve">v5.1 L3445–3462</t>
  </si>
  <si>
    <t xml:space="preserve">TEC-01, TEC-08</t>
  </si>
  <si>
    <t xml:space="preserve">Extended life</t>
  </si>
  <si>
    <t xml:space="preserve">v5.1 L3555–3576</t>
  </si>
  <si>
    <t xml:space="preserve">Extended life → operator</t>
  </si>
  <si>
    <t xml:space="preserve">v5.1 L3579–3596</t>
  </si>
  <si>
    <t xml:space="preserve">v5.1 L3599–3614</t>
  </si>
  <si>
    <t xml:space="preserve">v5.1 L3617–3636</t>
  </si>
  <si>
    <t xml:space="preserve">Extended life → team</t>
  </si>
  <si>
    <t xml:space="preserve">v5.1 L3639–3660</t>
  </si>
  <si>
    <t xml:space="preserve">v5.1 L3663–3682</t>
  </si>
  <si>
    <t xml:space="preserve">v5.1 L3685–3704</t>
  </si>
  <si>
    <t xml:space="preserve">Extended cognitive</t>
  </si>
  <si>
    <t xml:space="preserve">v5.1 L3771–3792</t>
  </si>
  <si>
    <t xml:space="preserve">Extended communication</t>
  </si>
  <si>
    <t xml:space="preserve">v5.1 L3799–3816</t>
  </si>
  <si>
    <t xml:space="preserve">Assigned (delivery human)</t>
  </si>
  <si>
    <t xml:space="preserve">v5.1 L3839–3858</t>
  </si>
  <si>
    <t xml:space="preserve">Extended contemplative</t>
  </si>
  <si>
    <t xml:space="preserve">v5.1 L3865–3884</t>
  </si>
  <si>
    <t xml:space="preserve">Extended contemplative → culture</t>
  </si>
  <si>
    <t xml:space="preserve">v5.1 L3887–3904</t>
  </si>
  <si>
    <t xml:space="preserve">Assigned (team rituals)</t>
  </si>
  <si>
    <t xml:space="preserve">Extended governance</t>
  </si>
  <si>
    <t xml:space="preserve">Assigned (applied to this agent fleet)</t>
  </si>
  <si>
    <t xml:space="preserve">v5.1 L3957–3976</t>
  </si>
  <si>
    <t xml:space="preserve">v5.1 L3979–3996</t>
  </si>
  <si>
    <t xml:space="preserve">Out of scope for a non-ecological business (human-reserved)</t>
  </si>
  <si>
    <t xml:space="preserve">'Steps in Canon' is parsed from versions/v5.1 by build_agent_map.py (numbered lines inside each algorithm section). Canon's Fast-Reference index lists 48 algorithm rows (its footer says 47); the Extended section adds 29 → 77, matching canon's '70+'.</t>
  </si>
  <si>
    <t xml:space="preserve">Canon Element</t>
  </si>
  <si>
    <t xml:space="preserve">Source</t>
  </si>
  <si>
    <t xml:space="preserve">Owner Agent</t>
  </si>
  <si>
    <t xml:space="preserve">Responsibilities Mapped</t>
  </si>
  <si>
    <t xml:space="preserve">Covered?</t>
  </si>
  <si>
    <t xml:space="preserve">Shepherd's Way Step 01 — Direct: Define before you gather — a single clear statement of intent, direction, scope.</t>
  </si>
  <si>
    <t xml:space="preserve">Shepherd's Way Step 02 — Guide: Structure the intake — departments in scope, questions, stakeholders, systems to audit — before information arrives.</t>
  </si>
  <si>
    <t xml:space="preserve">Shepherd's Way Step 03 — Gather: Blueprint first — collect everything (SOPs, tribal knowledge, tools, pain points, workflows, expectations, revenue flows, contractor relationships); filter nothing.</t>
  </si>
  <si>
    <t xml:space="preserve">Shepherd's Way Step 04 — Organize: Socks before shoes — categorize, find patterns, map dependencies, sequence; produce blueprint, dependency map, prioritized gap list, build sequence.</t>
  </si>
  <si>
    <t xml:space="preserve">Shepherd's Way Step 05 — Create: Knowledge is free, you pay for creation — build only from the organized blueprint.</t>
  </si>
  <si>
    <t xml:space="preserve">Shepherd's Way Step 06 — Database: If it isn't written, it isn't real — SOPs, Komodo recordings, transcripts, same-day client email recap.</t>
  </si>
  <si>
    <t xml:space="preserve">Shepherd's Way Step 07 — Repetition: Incremental correctness compounds — restart from the higher baseline; New Thought re-enters at Gather.</t>
  </si>
  <si>
    <t xml:space="preserve">Immersion Model — Full Data Capture (6–12 h): record everything on Komodo — workflows, tribal knowledge, team dynamics, pain points, tools, revenue flows, customer journey, founder vision → raw comple</t>
  </si>
  <si>
    <t xml:space="preserve">7-Step Script 07 — Close + Handoff (Yang closing, Yin receiving): Ask for the decision; handle objections via I.A.C.E.; transition to onboarding. Prompt: "Based on everything you've shared, which opti</t>
  </si>
  <si>
    <t xml:space="preserve">Pillar steward — Correctness: Every move objectively sound; no shortcuts (97% accuracy → 16% perfection over 60 decisions). In practice: documented SOPs, tested automations before launch, blueprint re</t>
  </si>
  <si>
    <t xml:space="preserve">Pillar steward — Patience: Growth through position, not desperation; blueprint first. In practice: 5-phase implementation, Direct → Guide → Gather before any system is built, quarterly BEAS assessment</t>
  </si>
  <si>
    <t xml:space="preserve">Pillar steward — Resilience: Survive pressure without collapse; productive entropy. In practice: Komodo-recorded processes, full documentation, never fully dependent on any single third party, downgra</t>
  </si>
  <si>
    <t xml:space="preserve">BEAS — Business Equilibrium Adherence Score (45-point monthly assessment)</t>
  </si>
  <si>
    <t xml:space="preserve">Yellow cells: enter 0 (absent), 0.5 (partial) or 1 (fully implemented); coordination 0–1. Row 16 is an illustrative EXAMPLE and is not counted. Source: v5.1 L1389–1446.</t>
  </si>
  <si>
    <t xml:space="preserve">Department</t>
  </si>
  <si>
    <t xml:space="preserve">Accountable Lead</t>
  </si>
  <si>
    <t xml:space="preserve">Correctness</t>
  </si>
  <si>
    <t xml:space="preserve">Correctness Agent</t>
  </si>
  <si>
    <t xml:space="preserve">Complexity</t>
  </si>
  <si>
    <t xml:space="preserve">Complexity Agent</t>
  </si>
  <si>
    <t xml:space="preserve">Patience</t>
  </si>
  <si>
    <t xml:space="preserve">Patience Agent</t>
  </si>
  <si>
    <t xml:space="preserve">Resilience</t>
  </si>
  <si>
    <t xml:space="preserve">Resilience Agent</t>
  </si>
  <si>
    <t xml:space="preserve">Dept Total /4</t>
  </si>
  <si>
    <t xml:space="preserve">Coordination /1</t>
  </si>
  <si>
    <t xml:space="preserve">Quadrant</t>
  </si>
  <si>
    <t xml:space="preserve">High Yin</t>
  </si>
  <si>
    <t xml:space="preserve">High Yang</t>
  </si>
  <si>
    <t xml:space="preserve">Bridging</t>
  </si>
  <si>
    <t xml:space="preserve">TOTALS</t>
  </si>
  <si>
    <t xml:space="preserve">EXAMPLE (not counted)</t>
  </si>
  <si>
    <t xml:space="preserve">BEAS Total /45</t>
  </si>
  <si>
    <t xml:space="preserve">Band</t>
  </si>
  <si>
    <t xml:space="preserve">Canon action</t>
  </si>
  <si>
    <t xml:space="preserve">Lowest department total</t>
  </si>
  <si>
    <t xml:space="preserve">High Yang quadrant avg /4</t>
  </si>
  <si>
    <t xml:space="preserve">High Yin quadrant avg /4</t>
  </si>
  <si>
    <t xml:space="preserve">Bridging quadrant avg /4</t>
  </si>
  <si>
    <t xml:space="preserve">Pillar evidence (what 'fully implemented' looks like) — v5.1 L1362–1367</t>
  </si>
  <si>
    <t xml:space="preserve">Every move objectively sound; no shortcuts (97% accuracy → 16% perfection over 60 decisions). In practice: documented SOPs, tested automations before launch, blueprint review before any build, every Komodo recording.  (Pillar steward: OPS-02)</t>
  </si>
  <si>
    <t xml:space="preserve">Embrace full scope; never oversimplify. In practice: nine integrated departments, no isolated tools, Gather step before any build.  (Pillar steward: TEC-04)</t>
  </si>
  <si>
    <t xml:space="preserve">Growth through position, not desperation; blueprint first. In practice: 5-phase implementation, Direct → Guide → Gather before any system is built, quarterly BEAS assessment.  (Pillar steward: O-03)</t>
  </si>
  <si>
    <t xml:space="preserve">Survive pressure without collapse; productive entropy. In practice: Komodo-recorded processes, full documentation, never fully dependent on any single third party, downgrade path to $297.  (Pillar steward: STR-05)</t>
  </si>
  <si>
    <t xml:space="preserve">Workflow ID</t>
  </si>
  <si>
    <t xml:space="preserve">Workflow</t>
  </si>
  <si>
    <t xml:space="preserve">Seq</t>
  </si>
  <si>
    <t xml:space="preserve">Action</t>
  </si>
  <si>
    <t xml:space="preserve">W01</t>
  </si>
  <si>
    <t xml:space="preserve">Lead-to-Cash (ACE Acquisition → Creation)</t>
  </si>
  <si>
    <t xml:space="preserve">Input arrives (ad, form, referral)</t>
  </si>
  <si>
    <t xml:space="preserve">Capture in Lead Connector; tag source/campaign/hot buttons</t>
  </si>
  <si>
    <t xml:space="preserve">Instant automated first contact (Flows AI) → Contacted</t>
  </si>
  <si>
    <t xml:space="preserve">Short-survey qualification → Qualified</t>
  </si>
  <si>
    <t xml:space="preserve">Book and confirm call → Appointment Set / Show</t>
  </si>
  <si>
    <t xml:space="preserve">Pre-call brief; human closer runs 7-step script</t>
  </si>
  <si>
    <t xml:space="preserve">I.A.C.E. on objections</t>
  </si>
  <si>
    <t xml:space="preserve">Present three-tier stack; prospect self-selects</t>
  </si>
  <si>
    <t xml:space="preserve">Draft proposal/contract from notes → Proposal</t>
  </si>
  <si>
    <t xml:space="preserve">Human approves and signs</t>
  </si>
  <si>
    <t xml:space="preserve">Closed Won → handoff package with full context</t>
  </si>
  <si>
    <t xml:space="preserve">Invoice and record payment</t>
  </si>
  <si>
    <t xml:space="preserve">Calculate commission</t>
  </si>
  <si>
    <t xml:space="preserve">Update step conversion; lowest step → O-03</t>
  </si>
  <si>
    <t xml:space="preserve">— (cycle closes)</t>
  </si>
  <si>
    <t xml:space="preserve">W02</t>
  </si>
  <si>
    <t xml:space="preserve">Client Immersion → Blueprint → Build</t>
  </si>
  <si>
    <t xml:space="preserve">Pre-Immersion prep (1–2 days before)</t>
  </si>
  <si>
    <t xml:space="preserve">Calibration + 6–12 h Komodo capture (human-led)</t>
  </si>
  <si>
    <t xml:space="preserve">Organize same day; blueprint within 48 h</t>
  </si>
  <si>
    <t xml:space="preserve">Internal sign-off; client approves blueprint</t>
  </si>
  <si>
    <t xml:space="preserve">Project plan from 90-day roadmap</t>
  </si>
  <si>
    <t xml:space="preserve">Build per roadmap; every session recorded</t>
  </si>
  <si>
    <t xml:space="preserve">QC before handoff</t>
  </si>
  <si>
    <t xml:space="preserve">Same-day email recap of every deliverable</t>
  </si>
  <si>
    <t xml:space="preserve">First measurable result within 30 days</t>
  </si>
  <si>
    <t xml:space="preserve">Monthly client BEAS + results report</t>
  </si>
  <si>
    <t xml:space="preserve">Quarterly Immersion review → next Fibonacci step</t>
  </si>
  <si>
    <t xml:space="preserve">W03</t>
  </si>
  <si>
    <t xml:space="preserve">Expansion &amp; Retention (ACE Expansion)</t>
  </si>
  <si>
    <t xml:space="preserve">Results report delivered (the upsell trigger)</t>
  </si>
  <si>
    <t xml:space="preserve">Referral sequence + hour-bonus upgrade conversation</t>
  </si>
  <si>
    <t xml:space="preserve">NPS / feedback capture</t>
  </si>
  <si>
    <t xml:space="preserve">Churn risk → $297 downgrade path instead of cancellation</t>
  </si>
  <si>
    <t xml:space="preserve">Community engagement for stickiness</t>
  </si>
  <si>
    <t xml:space="preserve">Upgrade call (human-led) if accepted</t>
  </si>
  <si>
    <t xml:space="preserve">Integrate every churn/downgrade as information</t>
  </si>
  <si>
    <t xml:space="preserve">W04</t>
  </si>
  <si>
    <t xml:space="preserve">Shepherd's Way build cycle (any hub)</t>
  </si>
  <si>
    <t xml:space="preserve">01 Direct — intent, scope (strategic: G-00 signs)</t>
  </si>
  <si>
    <t xml:space="preserve">02 Guide — intake structure</t>
  </si>
  <si>
    <t xml:space="preserve">03 Gather — collect everything, filter nothing</t>
  </si>
  <si>
    <t xml:space="preserve">04 Organize — blueprint, dependency map, build sequence</t>
  </si>
  <si>
    <t xml:space="preserve">Hub agent</t>
  </si>
  <si>
    <t xml:space="preserve">05 Create — build from blueprint</t>
  </si>
  <si>
    <t xml:space="preserve">06 Database — SOPs, recordings, recap</t>
  </si>
  <si>
    <t xml:space="preserve">07 Repetition — restart at higher baseline</t>
  </si>
  <si>
    <t xml:space="preserve">Self-audit of the run</t>
  </si>
  <si>
    <t xml:space="preserve">W05</t>
  </si>
  <si>
    <t xml:space="preserve">Monthly BEAS cycle</t>
  </si>
  <si>
    <t xml:space="preserve">Hub leads</t>
  </si>
  <si>
    <t xml:space="preserve">Submit four-pillar self-scores + coordination with evidence</t>
  </si>
  <si>
    <t xml:space="preserve">Total /45, band, quadrant analysis vs growth stage</t>
  </si>
  <si>
    <t xml:space="preserve">Confirm growth stage and evidence</t>
  </si>
  <si>
    <t xml:space="preserve">Yin/Yang quadrant correction</t>
  </si>
  <si>
    <t xml:space="preserve">Dispatch lowest department-pillar cell</t>
  </si>
  <si>
    <t xml:space="preserve">Shepherd's Way on that cell</t>
  </si>
  <si>
    <t xml:space="preserve">Re-score next month</t>
  </si>
  <si>
    <t xml:space="preserve">W06</t>
  </si>
  <si>
    <t xml:space="preserve">Hire → Onboard → 30/60/90</t>
  </si>
  <si>
    <t xml:space="preserve">Role purpose; four-pillar requirements; source; score; Kingdom + frequency check; references</t>
  </si>
  <si>
    <t xml:space="preserve">Hire decision</t>
  </si>
  <si>
    <t xml:space="preserve">Offer at the compensation middle</t>
  </si>
  <si>
    <t xml:space="preserve">Immersion onboarding; role blueprint; playbook</t>
  </si>
  <si>
    <t xml:space="preserve">Learning plan</t>
  </si>
  <si>
    <t xml:space="preserve">30/60/90 reviews with role-fit BEAS</t>
  </si>
  <si>
    <t xml:space="preserve">Update org design and this agent map</t>
  </si>
  <si>
    <t xml:space="preserve">W07</t>
  </si>
  <si>
    <t xml:space="preserve">Crisis response</t>
  </si>
  <si>
    <t xml:space="preserve">Confirm crisis is real</t>
  </si>
  <si>
    <t xml:space="preserve">Stop First-Kingdom bleeding</t>
  </si>
  <si>
    <t xml:space="preserve">Take command locus</t>
  </si>
  <si>
    <t xml:space="preserve">Triage → stabilization → root cause → prevention</t>
  </si>
  <si>
    <t xml:space="preserve">Stakeholder communication matched to frequency</t>
  </si>
  <si>
    <t xml:space="preserve">Real-time crisis log</t>
  </si>
  <si>
    <t xml:space="preserve">Post-crisis integration</t>
  </si>
  <si>
    <t xml:space="preserve">Update risk register and downgrade paths</t>
  </si>
  <si>
    <t xml:space="preserve">W08</t>
  </si>
  <si>
    <t xml:space="preserve">New Thought re-entry</t>
  </si>
  <si>
    <t xml:space="preserve">New insight/input detected mid-cycle</t>
  </si>
  <si>
    <t xml:space="preserve">Re-enter at Gather (not the beginning)</t>
  </si>
  <si>
    <t xml:space="preserve">Register any new variable it opens</t>
  </si>
  <si>
    <t xml:space="preserve">Continue Organize → Create with the new signal</t>
  </si>
  <si>
    <t xml:space="preserve">W09</t>
  </si>
  <si>
    <t xml:space="preserve">Unknown problem routing</t>
  </si>
  <si>
    <t xml:space="preserve">Name input; locate Kingdom; move up</t>
  </si>
  <si>
    <t xml:space="preserve">Match in Algorithm Index</t>
  </si>
  <si>
    <t xml:space="preserve">No match → run 12-step Master Meta-Algorithm; label DERIVATION</t>
  </si>
  <si>
    <t xml:space="preserve">Classify the derived algorithm (forced / live hypothesis / stipulation)</t>
  </si>
  <si>
    <t xml:space="preserve">Check failure modes</t>
  </si>
  <si>
    <t xml:space="preserve">Adopt as SOP? (human)</t>
  </si>
  <si>
    <t xml:space="preserve">Document derived SOP, labelled as derivation</t>
  </si>
  <si>
    <t xml:space="preserve">W10</t>
  </si>
  <si>
    <t xml:space="preserve">Failure integration</t>
  </si>
  <si>
    <t xml:space="preserve">Any agent</t>
  </si>
  <si>
    <t xml:space="preserve">Report failure / dead end</t>
  </si>
  <si>
    <t xml:space="preserve">Extract information; locate what it enables</t>
  </si>
  <si>
    <t xml:space="preserve">Load into knowledge base (never delete the record)</t>
  </si>
  <si>
    <t xml:space="preserve">Load into next cycle's starting substrate</t>
  </si>
  <si>
    <t xml:space="preserve">Check for cross-case pattern</t>
  </si>
  <si>
    <t xml:space="preserve">W11</t>
  </si>
  <si>
    <t xml:space="preserve">Material decision</t>
  </si>
  <si>
    <t xml:space="preserve">Decision brief: statement, Kingdom, variables, gradient, Hermetic audit, middle</t>
  </si>
  <si>
    <t xml:space="preserve">Attach falsifier</t>
  </si>
  <si>
    <t xml:space="preserve">Decide (the choice is human)</t>
  </si>
  <si>
    <t xml:space="preserve">Document expected outcome</t>
  </si>
  <si>
    <t xml:space="preserve">Compare actual vs predicted</t>
  </si>
  <si>
    <t xml:space="preserve">Integrate the gap</t>
  </si>
  <si>
    <t xml:space="preserve">W12</t>
  </si>
  <si>
    <t xml:space="preserve">Vendor onboarding &amp; review</t>
  </si>
  <si>
    <t xml:space="preserve">Gradient; Correctness / Complexity / Resilience checks</t>
  </si>
  <si>
    <t xml:space="preserve">Confirm downgrade path</t>
  </si>
  <si>
    <t xml:space="preserve">Contract review; ambiguous terms held open</t>
  </si>
  <si>
    <t xml:space="preserve">Contract approval</t>
  </si>
  <si>
    <t xml:space="preserve">Instrument performance; monthly review</t>
  </si>
  <si>
    <t xml:space="preserve">W13</t>
  </si>
  <si>
    <t xml:space="preserve">Content propagation (Five Modes)</t>
  </si>
  <si>
    <t xml:space="preserve">Mode 2 — capture demonstration/case study</t>
  </si>
  <si>
    <t xml:space="preserve">Mode 3 — document as SOP/course material</t>
  </si>
  <si>
    <t xml:space="preserve">Mode 4 — automate</t>
  </si>
  <si>
    <t xml:space="preserve">Mode 1 — teach via University</t>
  </si>
  <si>
    <t xml:space="preserve">Mode 5 — embed in culture/community</t>
  </si>
  <si>
    <t xml:space="preserve">Distribute</t>
  </si>
  <si>
    <t xml:space="preserve">W14</t>
  </si>
  <si>
    <t xml:space="preserve">Quarterly strategy &amp; compliance review</t>
  </si>
  <si>
    <t xml:space="preserve">Re-filter initiatives against the convergence point</t>
  </si>
  <si>
    <t xml:space="preserve">Market cycle phase and positioning</t>
  </si>
  <si>
    <t xml:space="preserve">Quarterly plan with falsifiers</t>
  </si>
  <si>
    <t xml:space="preserve">Budget</t>
  </si>
  <si>
    <t xml:space="preserve">Compliance review (quarterly minimum)</t>
  </si>
  <si>
    <t xml:space="preserve">Agent alignment review at any capability change</t>
  </si>
  <si>
    <t xml:space="preserve">Approve plan</t>
  </si>
  <si>
    <t xml:space="preserve">W15</t>
  </si>
  <si>
    <t xml:space="preserve">Agent fleet change</t>
  </si>
  <si>
    <t xml:space="preserve">Propose new/changed agent role</t>
  </si>
  <si>
    <t xml:space="preserve">Decision rights + autonomy level</t>
  </si>
  <si>
    <t xml:space="preserve">Alignment review; downgrade path; instrumentation</t>
  </si>
  <si>
    <t xml:space="preserve">Approve deployment</t>
  </si>
  <si>
    <t xml:space="preserve">Deploy with logging + fallback</t>
  </si>
  <si>
    <t xml:space="preserve">Audit first runs</t>
  </si>
  <si>
    <t xml:space="preserve">Gate ID</t>
  </si>
  <si>
    <t xml:space="preserve">Decision Agents Must Escalate</t>
  </si>
  <si>
    <t xml:space="preserve">Raised By</t>
  </si>
  <si>
    <t xml:space="preserve">Basis</t>
  </si>
  <si>
    <t xml:space="preserve">Decides</t>
  </si>
  <si>
    <t xml:space="preserve">HG-01</t>
  </si>
  <si>
    <t xml:space="preserve">Any material decision (the choice itself)</t>
  </si>
  <si>
    <t xml:space="preserve">Framework cannot supply the choice</t>
  </si>
  <si>
    <t xml:space="preserve">v5.1 L172</t>
  </si>
  <si>
    <t xml:space="preserve">HG-02</t>
  </si>
  <si>
    <t xml:space="preserve">Naming the outcome after an action (e.g., 'success', 'failure')</t>
  </si>
  <si>
    <t xml:space="preserve">Any</t>
  </si>
  <si>
    <t xml:space="preserve">Framework cannot supply the naming</t>
  </si>
  <si>
    <t xml:space="preserve">v5.1 L174</t>
  </si>
  <si>
    <t xml:space="preserve">HG-03</t>
  </si>
  <si>
    <t xml:space="preserve">Situation-specific measurements an agent cannot take</t>
  </si>
  <si>
    <t xml:space="preserve">Framework cannot supply empirical measurements</t>
  </si>
  <si>
    <t xml:space="preserve">v5.1 L176</t>
  </si>
  <si>
    <t xml:space="preserve">HG-04</t>
  </si>
  <si>
    <t xml:space="preserve">Stance on a held-open variable / any stipulation</t>
  </si>
  <si>
    <t xml:space="preserve">Stipulations are operator choices (v5.3)</t>
  </si>
  <si>
    <t xml:space="preserve">v5.3 §2</t>
  </si>
  <si>
    <t xml:space="preserve">HG-05</t>
  </si>
  <si>
    <t xml:space="preserve">Strategic Direct (intent) for hub-level builds</t>
  </si>
  <si>
    <t xml:space="preserve">Direct begins from Third-Kingdom awareness</t>
  </si>
  <si>
    <t xml:space="preserve">HG-06</t>
  </si>
  <si>
    <t xml:space="preserve">Sales conversation (Creation stage)</t>
  </si>
  <si>
    <t xml:space="preserve">'The human magic happens here'</t>
  </si>
  <si>
    <t xml:space="preserve">v5.1 L1603</t>
  </si>
  <si>
    <t xml:space="preserve">HG-07</t>
  </si>
  <si>
    <t xml:space="preserve">Honest escalation / walk-away on an objection or negotiation</t>
  </si>
  <si>
    <t xml:space="preserve">SAL-06; SAL-10</t>
  </si>
  <si>
    <t xml:space="preserve">Eliminate or Escalate — the honest path</t>
  </si>
  <si>
    <t xml:space="preserve">v5.1 L1637; L2589</t>
  </si>
  <si>
    <t xml:space="preserve">HG-08</t>
  </si>
  <si>
    <t xml:space="preserve">Contract signature; final negotiated terms</t>
  </si>
  <si>
    <t xml:space="preserve">SAL-08; SAL-10</t>
  </si>
  <si>
    <t xml:space="preserve">Derived (commitment)</t>
  </si>
  <si>
    <t xml:space="preserve">Derived</t>
  </si>
  <si>
    <t xml:space="preserve">HG-09</t>
  </si>
  <si>
    <t xml:space="preserve">Price and offer changes</t>
  </si>
  <si>
    <t xml:space="preserve">FIN-06; SAL-07</t>
  </si>
  <si>
    <t xml:space="preserve">Derived (commercial authority)</t>
  </si>
  <si>
    <t xml:space="preserve">HG-10</t>
  </si>
  <si>
    <t xml:space="preserve">Capital deployment; budget approval</t>
  </si>
  <si>
    <t xml:space="preserve">FIN-01; FIN-02</t>
  </si>
  <si>
    <t xml:space="preserve">Derived (capital authority)</t>
  </si>
  <si>
    <t xml:space="preserve">HG-11</t>
  </si>
  <si>
    <t xml:space="preserve">Hire, compensation, employment decisions</t>
  </si>
  <si>
    <t xml:space="preserve">HRC-01; HRC-02; HRC-04</t>
  </si>
  <si>
    <t xml:space="preserve">Derived (employment law/ethics)</t>
  </si>
  <si>
    <t xml:space="preserve">HG-12</t>
  </si>
  <si>
    <t xml:space="preserve">Crisis command locus</t>
  </si>
  <si>
    <t xml:space="preserve">Crisis step 3 — centralize to a clear Third-Kingdom locus</t>
  </si>
  <si>
    <t xml:space="preserve">HG-13</t>
  </si>
  <si>
    <t xml:space="preserve">Blueprint approval (client + internal)</t>
  </si>
  <si>
    <t xml:space="preserve">'Written, documented, client-approved blueprint'</t>
  </si>
  <si>
    <t xml:space="preserve">HG-14</t>
  </si>
  <si>
    <t xml:space="preserve">Deploying or expanding any AI agent</t>
  </si>
  <si>
    <t xml:space="preserve">G-05; TEC-05</t>
  </si>
  <si>
    <t xml:space="preserve">AI Alignment — downgrade path before deployment</t>
  </si>
  <si>
    <t xml:space="preserve">HG-15</t>
  </si>
  <si>
    <t xml:space="preserve">Legal positions and regulatory interpretation</t>
  </si>
  <si>
    <t xml:space="preserve">Ambiguous rules held as bounded variables</t>
  </si>
  <si>
    <t xml:space="preserve">HG-16</t>
  </si>
  <si>
    <t xml:space="preserve">Growth-stage classification for BEAS</t>
  </si>
  <si>
    <t xml:space="preserve">Stage determines expected tilt</t>
  </si>
  <si>
    <t xml:space="preserve">v5.1 L2486</t>
  </si>
  <si>
    <t xml:space="preserve">HG-17</t>
  </si>
  <si>
    <t xml:space="preserve">Scale go/no-go</t>
  </si>
  <si>
    <t xml:space="preserve">Patience — defer growth until the pillar is in place</t>
  </si>
  <si>
    <t xml:space="preserve">HG-18</t>
  </si>
  <si>
    <t xml:space="preserve">Adopting a derived algorithm as a standing SOP</t>
  </si>
  <si>
    <t xml:space="preserve">Derivations stay labelled; adoption is an operator decision</t>
  </si>
  <si>
    <t xml:space="preserve">AGENTS.md rule 4</t>
  </si>
  <si>
    <t xml:space="preserve">HG-19</t>
  </si>
  <si>
    <t xml:space="preserve">Publishing claims about results / the methodology</t>
  </si>
  <si>
    <t xml:space="preserve">CON-*; MKT-*</t>
  </si>
  <si>
    <t xml:space="preserve">Falsifiability + CC BY 4.0 attribution</t>
  </si>
  <si>
    <t xml:space="preserve">v5.1 L1657; LICENSE</t>
  </si>
  <si>
    <t xml:space="preserve">HG-20</t>
  </si>
  <si>
    <t xml:space="preserve">Refunds, credits, retention concessions</t>
  </si>
  <si>
    <t xml:space="preserve">CS-05; CS-08</t>
  </si>
  <si>
    <t xml:space="preserve">Derived (financial authority)</t>
  </si>
  <si>
    <t xml:space="preserve">HG-21</t>
  </si>
  <si>
    <t xml:space="preserve">Psychological, health, family, grief, spiritual matters</t>
  </si>
  <si>
    <t xml:space="preserve">Human-reserved algorithms — not delegated to agents</t>
  </si>
  <si>
    <t xml:space="preserve">Derived (care boundary)</t>
  </si>
  <si>
    <t xml:space="preserve">Var ID</t>
  </si>
  <si>
    <t xml:space="preserve">Variable</t>
  </si>
  <si>
    <t xml:space="preserve">Why Open (canon status)</t>
  </si>
  <si>
    <t xml:space="preserve">How It Narrows / Who</t>
  </si>
  <si>
    <t xml:space="preserve">V-01</t>
  </si>
  <si>
    <t xml:space="preserve">KPI thresholds (response times beyond 'instant', conversion targets, NPS target, DSO, churn %)</t>
  </si>
  <si>
    <t xml:space="preserve">Canon names the metrics, not the numbers</t>
  </si>
  <si>
    <t xml:space="preserve">Operator sets from own baseline measurements</t>
  </si>
  <si>
    <t xml:space="preserve">Held open</t>
  </si>
  <si>
    <t xml:space="preserve">V-02</t>
  </si>
  <si>
    <t xml:space="preserve">BEAS band calibration across industries / growth stages</t>
  </si>
  <si>
    <t xml:space="preserve">v5.2 Run 4: 'exact band calibration across the 52 industries/stages (bounded)'</t>
  </si>
  <si>
    <t xml:space="preserve">Track BEAS vs outcomes over cycles</t>
  </si>
  <si>
    <t xml:space="preserve">Held open (bounded)</t>
  </si>
  <si>
    <t xml:space="preserve">V-03</t>
  </si>
  <si>
    <t xml:space="preserve">Is the 9-department × 4-pillar decomposition substrate-dependent?</t>
  </si>
  <si>
    <t xml:space="preserve">v5.2 Run 4 opened this variable</t>
  </si>
  <si>
    <t xml:space="preserve">Test whether these nine hubs fit this specific business</t>
  </si>
  <si>
    <t xml:space="preserve">V-04</t>
  </si>
  <si>
    <t xml:space="preserve">Does the co-creator proof hold for an AI or a collective?</t>
  </si>
  <si>
    <t xml:space="preserve">v5.2 Run 5: held open — directly relevant to agents</t>
  </si>
  <si>
    <t xml:space="preserve">Do not treat agents as co-creators; choice stays human (G-00)</t>
  </si>
  <si>
    <t xml:space="preserve">V-05</t>
  </si>
  <si>
    <t xml:space="preserve">Autonomy level of each agent (A / H / L / R)</t>
  </si>
  <si>
    <t xml:space="preserve">Derived in this map; canon does not assign autonomy</t>
  </si>
  <si>
    <t xml:space="preserve">Operator adjusts per risk appetite; G-06 records</t>
  </si>
  <si>
    <t xml:space="preserve">Stipulation</t>
  </si>
  <si>
    <t xml:space="preserve">V-06</t>
  </si>
  <si>
    <t xml:space="preserve">Agent placement where canon names no hub (Risk, Innovation, Vendor, Compliance, Negotiation, Writing, Facilitation, Learning, Memory, Communication)</t>
  </si>
  <si>
    <t xml:space="preserve">Derived placement</t>
  </si>
  <si>
    <t xml:space="preserve">Re-home freely; responsibilities do not change</t>
  </si>
  <si>
    <t xml:space="preserve">V-07</t>
  </si>
  <si>
    <t xml:space="preserve">Growth stage of the business (pre-revenue / scaling / mature)</t>
  </si>
  <si>
    <t xml:space="preserve">Canon gives tilts per stage, not the classification</t>
  </si>
  <si>
    <t xml:space="preserve">Founder classifies monthly (HG-16)</t>
  </si>
  <si>
    <t xml:space="preserve">V-08</t>
  </si>
  <si>
    <t xml:space="preserve">Tool stack beyond those canon names (Lead Connector/GHL, Flows AI, n8n, Komodo, GFunnel University)</t>
  </si>
  <si>
    <t xml:space="preserve">Not supplied</t>
  </si>
  <si>
    <t xml:space="preserve">Operator selects; record in TEC-01 architecture doc</t>
  </si>
  <si>
    <t xml:space="preserve">V-09</t>
  </si>
  <si>
    <t xml:space="preserve">Compensation numbers, prices other than the $297 downgrade path, budgets</t>
  </si>
  <si>
    <t xml:space="preserve">Measured / decided by humans</t>
  </si>
  <si>
    <t xml:space="preserve">V-10</t>
  </si>
  <si>
    <t xml:space="preserve">Legal jurisdiction and regulatory framework</t>
  </si>
  <si>
    <t xml:space="preserve">HRC-10 maps once jurisdiction is known</t>
  </si>
  <si>
    <t xml:space="preserve">V-11</t>
  </si>
  <si>
    <t xml:space="preserve">Number of agent instances per role (e.g., several SAL-01 instances)</t>
  </si>
  <si>
    <t xml:space="preserve">Size from volume measurements</t>
  </si>
  <si>
    <t xml:space="preserve">V-12</t>
  </si>
  <si>
    <t xml:space="preserve">Phase routing (Acquire → Scientific Inquiry, Create → Master Meta-Algorithm)</t>
  </si>
  <si>
    <t xml:space="preserve">Proposed in substrate/2026-09-28-ace-phasing.md — substrate, NOT canon</t>
  </si>
  <si>
    <t xml:space="preserve">O-02 may apply it as a labelled proposal</t>
  </si>
  <si>
    <t xml:space="preserve">Live proposal (not canon)</t>
  </si>
  <si>
    <t xml:space="preserve">V-13</t>
  </si>
  <si>
    <t xml:space="preserve">Whether 'Gather before Create' slows time-critical work (e.g., crisis)</t>
  </si>
  <si>
    <t xml:space="preserve">Canon resolves by Crisis algorithm: triage first</t>
  </si>
  <si>
    <t xml:space="preserve">O-19 overrides sequencing in confirmed crises only</t>
  </si>
  <si>
    <t xml:space="preserve">Structurally derived</t>
  </si>
  <si>
    <t xml:space="preserve">V-14</t>
  </si>
  <si>
    <t xml:space="preserve">v5.4 constructs (Line-Field, Knot-Line, Lamina) in business operations</t>
  </si>
  <si>
    <t xml:space="preserve">v5.4 states zero novel predictions; not physics; not business ops</t>
  </si>
  <si>
    <t xml:space="preserve">Excluded from this map</t>
  </si>
  <si>
    <t xml:space="preserve">Excluded</t>
  </si>
  <si>
    <t xml:space="preserve">Gap Check — live proof of 'no gaps'</t>
  </si>
  <si>
    <t xml:space="preserve">Check</t>
  </si>
  <si>
    <t xml:space="preserve">Value</t>
  </si>
  <si>
    <t xml:space="preserve">Rule</t>
  </si>
  <si>
    <t xml:space="preserve">Agents in roster</t>
  </si>
  <si>
    <t xml:space="preserve">Agents with zero responsibilities</t>
  </si>
  <si>
    <t xml:space="preserve">must be 0</t>
  </si>
  <si>
    <t xml:space="preserve">Responsibilities with no valid owner</t>
  </si>
  <si>
    <t xml:space="preserve">Algorithms in canon (parsed)</t>
  </si>
  <si>
    <t xml:space="preserve">77 expected</t>
  </si>
  <si>
    <t xml:space="preserve">Algorithm steps in canon</t>
  </si>
  <si>
    <t xml:space="preserve">Algorithm steps unmapped</t>
  </si>
  <si>
    <t xml:space="preserve">Canon table elements uncovered</t>
  </si>
  <si>
    <t xml:space="preserve">Workflow steps with unknown agent</t>
  </si>
  <si>
    <t xml:space="preserve">group steps (Hub leads / Any agent) are intentional</t>
  </si>
  <si>
    <t xml:space="preserve">OVERALL</t>
  </si>
  <si>
    <t xml:space="preserve">Agents by tier</t>
  </si>
  <si>
    <t xml:space="preserve">Tier 0</t>
  </si>
  <si>
    <t xml:space="preserve">Tier 1</t>
  </si>
  <si>
    <t xml:space="preserve">Tier 2</t>
  </si>
  <si>
    <t xml:space="preserve">Tier 3</t>
  </si>
  <si>
    <t xml:space="preserve">Agents by autonomy</t>
  </si>
  <si>
    <t xml:space="preserve">Autonomous — agent executes and logs</t>
  </si>
  <si>
    <t xml:space="preserve">Human-in-loop — agent drafts, human approves</t>
  </si>
  <si>
    <t xml:space="preserve">Human-led — agent assists</t>
  </si>
  <si>
    <t xml:space="preserve">Human-reserved — no agent executes</t>
  </si>
  <si>
    <t xml:space="preserve">Responsibilities per hub</t>
  </si>
</sst>
</file>

<file path=xl/styles.xml><?xml version="1.0" encoding="utf-8"?>
<styleSheet xmlns="http://schemas.openxmlformats.org/spreadsheetml/2006/main">
  <numFmts count="3">
    <numFmt numFmtId="164" formatCode="General"/>
    <numFmt numFmtId="165" formatCode="General"/>
    <numFmt numFmtId="166"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9"/>
      <name val="Arial"/>
      <family val="0"/>
      <charset val="1"/>
    </font>
    <font>
      <sz val="9"/>
      <name val="Arial"/>
      <family val="0"/>
      <charset val="1"/>
    </font>
    <font>
      <b val="true"/>
      <sz val="10"/>
      <color rgb="FFFFFFFF"/>
      <name val="Arial"/>
      <family val="0"/>
      <charset val="1"/>
    </font>
    <font>
      <i val="true"/>
      <sz val="8"/>
      <name val="Arial"/>
      <family val="0"/>
      <charset val="1"/>
    </font>
    <font>
      <i val="true"/>
      <sz val="9"/>
      <name val="Arial"/>
      <family val="0"/>
      <charset val="1"/>
    </font>
    <font>
      <i val="true"/>
      <sz val="9"/>
      <color rgb="FF808080"/>
      <name val="Arial"/>
      <family val="0"/>
      <charset val="1"/>
    </font>
    <font>
      <b val="true"/>
      <sz val="11"/>
      <color rgb="FF0061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DDEBF7"/>
        <bgColor rgb="FFE2EFDA"/>
      </patternFill>
    </fill>
    <fill>
      <patternFill patternType="solid">
        <fgColor rgb="FFFFF2CC"/>
        <bgColor rgb="FFF2F2F2"/>
      </patternFill>
    </fill>
    <fill>
      <patternFill patternType="solid">
        <fgColor rgb="FFFFFFFF"/>
        <bgColor rgb="FFF2F2F2"/>
      </patternFill>
    </fill>
    <fill>
      <patternFill patternType="solid">
        <fgColor rgb="FFFFFF00"/>
        <bgColor rgb="FFFFFF00"/>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5" fontId="6"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5" fontId="6" fillId="6"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true" applyAlignment="false" applyProtection="false">
      <alignment horizontal="general" vertical="bottom" textRotation="0" wrapText="false" indent="0" shrinkToFit="false"/>
      <protection locked="true" hidden="false"/>
    </xf>
    <xf numFmtId="166"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fgColor rgb="FFFFFFFF"/>
          <bgColor rgb="FF000000"/>
        </patternFill>
      </fill>
    </dxf>
    <dxf>
      <fill>
        <patternFill>
          <bgColor rgb="FFFF9999"/>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99"/>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7.35" hidden="false" customHeight="false" outlineLevel="0" collapsed="false">
      <c r="A1" s="1" t="s">
        <v>0</v>
      </c>
    </row>
    <row r="3" customFormat="false" ht="22.35" hidden="false" customHeight="false" outlineLevel="0" collapsed="false">
      <c r="A3" s="2" t="s">
        <v>1</v>
      </c>
      <c r="B3" s="3" t="s">
        <v>2</v>
      </c>
    </row>
    <row r="4" customFormat="false" ht="22.35" hidden="false" customHeight="false" outlineLevel="0" collapsed="false">
      <c r="A4" s="2" t="s">
        <v>3</v>
      </c>
      <c r="B4" s="3" t="s">
        <v>4</v>
      </c>
    </row>
    <row r="5" customFormat="false" ht="22.35" hidden="false" customHeight="false" outlineLevel="0" collapsed="false">
      <c r="A5" s="2" t="s">
        <v>5</v>
      </c>
      <c r="B5" s="3" t="s">
        <v>6</v>
      </c>
    </row>
    <row r="6" customFormat="false" ht="32.8" hidden="false" customHeight="false" outlineLevel="0" collapsed="false">
      <c r="A6" s="2" t="s">
        <v>7</v>
      </c>
      <c r="B6" s="3" t="s">
        <v>8</v>
      </c>
    </row>
    <row r="7" customFormat="false" ht="95.5" hidden="false" customHeight="false" outlineLevel="0" collapsed="false">
      <c r="A7" s="2" t="s">
        <v>9</v>
      </c>
      <c r="B7" s="3" t="s">
        <v>10</v>
      </c>
    </row>
    <row r="8" customFormat="false" ht="15" hidden="false" customHeight="false" outlineLevel="0" collapsed="false">
      <c r="A8" s="2" t="s">
        <v>11</v>
      </c>
      <c r="B8" s="3" t="s">
        <v>12</v>
      </c>
    </row>
    <row r="9" customFormat="false" ht="43.25" hidden="false" customHeight="false" outlineLevel="0" collapsed="false">
      <c r="A9" s="2" t="s">
        <v>13</v>
      </c>
      <c r="B9" s="3" t="s">
        <v>14</v>
      </c>
    </row>
    <row r="10" customFormat="false" ht="22.35" hidden="false" customHeight="false" outlineLevel="0" collapsed="false">
      <c r="A10" s="2" t="s">
        <v>15</v>
      </c>
      <c r="B10" s="3" t="s">
        <v>16</v>
      </c>
    </row>
    <row r="11" customFormat="false" ht="15" hidden="false" customHeight="false" outlineLevel="0" collapsed="false">
      <c r="A11" s="2" t="s">
        <v>17</v>
      </c>
      <c r="B11" s="3" t="s">
        <v>18</v>
      </c>
    </row>
    <row r="12" customFormat="false" ht="22.35" hidden="false" customHeight="false" outlineLevel="0" collapsed="false">
      <c r="A12" s="2" t="s">
        <v>19</v>
      </c>
      <c r="B12" s="3" t="s">
        <v>20</v>
      </c>
    </row>
    <row r="14" customFormat="false" ht="15" hidden="false" customHeight="false" outlineLevel="0" collapsed="false">
      <c r="A14" s="2" t="s">
        <v>21</v>
      </c>
    </row>
    <row r="15" customFormat="false" ht="15" hidden="false" customHeight="false" outlineLevel="0" collapsed="false">
      <c r="A15" s="4" t="s">
        <v>22</v>
      </c>
      <c r="B15" s="5" t="n">
        <f aca="false">COUNTA('Agent Roster'!A:A)-1</f>
        <v>112</v>
      </c>
    </row>
    <row r="16" customFormat="false" ht="15" hidden="false" customHeight="false" outlineLevel="0" collapsed="false">
      <c r="A16" s="4" t="s">
        <v>23</v>
      </c>
      <c r="B16" s="5" t="n">
        <f aca="false">COUNTA(Responsibilities!A:A)-1</f>
        <v>956</v>
      </c>
    </row>
    <row r="17" customFormat="false" ht="15" hidden="false" customHeight="false" outlineLevel="0" collapsed="false">
      <c r="A17" s="4" t="s">
        <v>24</v>
      </c>
      <c r="B17" s="5" t="n">
        <f aca="false">COUNTA('Algorithm Coverage'!A:A)-1</f>
        <v>78</v>
      </c>
    </row>
    <row r="18" customFormat="false" ht="15" hidden="false" customHeight="false" outlineLevel="0" collapsed="false">
      <c r="A18" s="4" t="s">
        <v>25</v>
      </c>
      <c r="B18" s="5" t="n">
        <f aca="false">COUNTA('Canon Element Coverage'!A:A)-1</f>
        <v>182</v>
      </c>
    </row>
    <row r="19" customFormat="false" ht="15" hidden="false" customHeight="false" outlineLevel="0" collapsed="false">
      <c r="A19" s="4" t="s">
        <v>26</v>
      </c>
      <c r="B19" s="5" t="str">
        <f aca="false">'Gap Check'!B12</f>
        <v>NO GAPS — every responsibility owned, every agent active, every canon step mapped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16"/>
    <col collapsed="false" customWidth="true" hidden="false" outlineLevel="0" max="4" min="4" style="0" width="22"/>
    <col collapsed="false" customWidth="true" hidden="false" outlineLevel="0" max="5" min="5" style="0" width="10"/>
    <col collapsed="false" customWidth="true" hidden="false" outlineLevel="0" max="6" min="6" style="0" width="9"/>
    <col collapsed="false" customWidth="true" hidden="false" outlineLevel="0" max="7" min="7" style="0" width="16"/>
    <col collapsed="false" customWidth="true" hidden="false" outlineLevel="0" max="8" min="8" style="0" width="60"/>
    <col collapsed="false" customWidth="true" hidden="false" outlineLevel="0" max="9" min="9" style="0" width="36"/>
    <col collapsed="false" customWidth="true" hidden="false" outlineLevel="0" max="11" min="10" style="0" width="34"/>
    <col collapsed="false" customWidth="true" hidden="false" outlineLevel="0" max="13" min="12" style="0" width="20"/>
    <col collapsed="false" customWidth="true" hidden="false" outlineLevel="0" max="14" min="14" style="0" width="32"/>
    <col collapsed="false" customWidth="true" hidden="false" outlineLevel="0" max="15" min="15" style="0" width="26"/>
    <col collapsed="false" customWidth="true" hidden="false" outlineLevel="0" max="16" min="16" style="0" width="30"/>
    <col collapsed="false" customWidth="true" hidden="false" outlineLevel="0" max="17" min="17" style="0" width="9"/>
    <col collapsed="false" customWidth="true" hidden="false" outlineLevel="0" max="18" min="18" style="0" width="28"/>
    <col collapsed="false" customWidth="true" hidden="false" outlineLevel="0" max="19" min="19" style="0" width="24"/>
    <col collapsed="false" customWidth="true" hidden="false" outlineLevel="0" max="20" min="20" style="0" width="10"/>
  </cols>
  <sheetData>
    <row r="1" customFormat="false" ht="46.25" hidden="false" customHeight="false" outlineLevel="0" collapsed="false">
      <c r="A1" s="6" t="s">
        <v>27</v>
      </c>
      <c r="B1" s="6" t="s">
        <v>28</v>
      </c>
      <c r="C1" s="6" t="s">
        <v>29</v>
      </c>
      <c r="D1" s="6" t="s">
        <v>30</v>
      </c>
      <c r="E1" s="6" t="s">
        <v>31</v>
      </c>
      <c r="F1" s="6" t="s">
        <v>32</v>
      </c>
      <c r="G1" s="6" t="s">
        <v>33</v>
      </c>
      <c r="H1" s="6" t="s">
        <v>34</v>
      </c>
      <c r="I1" s="6" t="s">
        <v>35</v>
      </c>
      <c r="J1" s="6" t="s">
        <v>36</v>
      </c>
      <c r="K1" s="6" t="s">
        <v>37</v>
      </c>
      <c r="L1" s="6" t="s">
        <v>38</v>
      </c>
      <c r="M1" s="6" t="s">
        <v>39</v>
      </c>
      <c r="N1" s="6" t="s">
        <v>40</v>
      </c>
      <c r="O1" s="6" t="s">
        <v>41</v>
      </c>
      <c r="P1" s="6" t="s">
        <v>42</v>
      </c>
      <c r="Q1" s="6" t="s">
        <v>43</v>
      </c>
      <c r="R1" s="6" t="s">
        <v>44</v>
      </c>
      <c r="S1" s="6" t="s">
        <v>45</v>
      </c>
      <c r="T1" s="6" t="s">
        <v>46</v>
      </c>
    </row>
    <row r="2" customFormat="false" ht="32.8" hidden="false" customHeight="false" outlineLevel="0" collapsed="false">
      <c r="A2" s="7" t="s">
        <v>47</v>
      </c>
      <c r="B2" s="8" t="s">
        <v>48</v>
      </c>
      <c r="C2" s="8" t="s">
        <v>49</v>
      </c>
      <c r="D2" s="8" t="s">
        <v>50</v>
      </c>
      <c r="E2" s="8" t="s">
        <v>51</v>
      </c>
      <c r="F2" s="8" t="s">
        <v>52</v>
      </c>
      <c r="G2" s="8" t="s">
        <v>53</v>
      </c>
      <c r="H2" s="8" t="s">
        <v>54</v>
      </c>
      <c r="I2" s="8" t="s">
        <v>55</v>
      </c>
      <c r="J2" s="8" t="s">
        <v>56</v>
      </c>
      <c r="K2" s="8" t="s">
        <v>57</v>
      </c>
      <c r="L2" s="8" t="s">
        <v>58</v>
      </c>
      <c r="M2" s="8" t="s">
        <v>51</v>
      </c>
      <c r="N2" s="8" t="s">
        <v>59</v>
      </c>
      <c r="O2" s="8" t="s">
        <v>60</v>
      </c>
      <c r="P2" s="8" t="s">
        <v>61</v>
      </c>
      <c r="Q2" s="8" t="s">
        <v>62</v>
      </c>
      <c r="R2" s="8" t="s">
        <v>63</v>
      </c>
      <c r="S2" s="8" t="s">
        <v>64</v>
      </c>
      <c r="T2" s="9" t="n">
        <f aca="false">COUNTIF(Responsibilities!$B:$B,A2)</f>
        <v>98</v>
      </c>
    </row>
    <row r="3" customFormat="false" ht="32.8" hidden="false" customHeight="false" outlineLevel="0" collapsed="false">
      <c r="A3" s="7" t="s">
        <v>65</v>
      </c>
      <c r="B3" s="8" t="s">
        <v>66</v>
      </c>
      <c r="C3" s="8" t="s">
        <v>67</v>
      </c>
      <c r="D3" s="8" t="s">
        <v>50</v>
      </c>
      <c r="E3" s="8" t="s">
        <v>47</v>
      </c>
      <c r="F3" s="8" t="s">
        <v>52</v>
      </c>
      <c r="G3" s="8" t="s">
        <v>53</v>
      </c>
      <c r="H3" s="8" t="s">
        <v>68</v>
      </c>
      <c r="I3" s="8" t="s">
        <v>69</v>
      </c>
      <c r="J3" s="8" t="s">
        <v>70</v>
      </c>
      <c r="K3" s="8" t="s">
        <v>71</v>
      </c>
      <c r="L3" s="8" t="s">
        <v>72</v>
      </c>
      <c r="M3" s="8" t="s">
        <v>51</v>
      </c>
      <c r="N3" s="8" t="s">
        <v>73</v>
      </c>
      <c r="O3" s="8" t="s">
        <v>74</v>
      </c>
      <c r="P3" s="8" t="s">
        <v>75</v>
      </c>
      <c r="Q3" s="8" t="s">
        <v>76</v>
      </c>
      <c r="R3" s="8" t="s">
        <v>77</v>
      </c>
      <c r="S3" s="8" t="s">
        <v>78</v>
      </c>
      <c r="T3" s="9" t="n">
        <f aca="false">COUNTIF(Responsibilities!$B:$B,A3)</f>
        <v>9</v>
      </c>
    </row>
    <row r="4" customFormat="false" ht="32.8" hidden="false" customHeight="false" outlineLevel="0" collapsed="false">
      <c r="A4" s="7" t="s">
        <v>79</v>
      </c>
      <c r="B4" s="8" t="s">
        <v>80</v>
      </c>
      <c r="C4" s="8" t="s">
        <v>67</v>
      </c>
      <c r="D4" s="8" t="s">
        <v>50</v>
      </c>
      <c r="E4" s="8" t="s">
        <v>65</v>
      </c>
      <c r="F4" s="8" t="s">
        <v>52</v>
      </c>
      <c r="G4" s="8" t="s">
        <v>53</v>
      </c>
      <c r="H4" s="8" t="s">
        <v>81</v>
      </c>
      <c r="I4" s="8" t="s">
        <v>82</v>
      </c>
      <c r="J4" s="8" t="s">
        <v>83</v>
      </c>
      <c r="K4" s="8" t="s">
        <v>84</v>
      </c>
      <c r="L4" s="8" t="s">
        <v>85</v>
      </c>
      <c r="M4" s="8" t="s">
        <v>51</v>
      </c>
      <c r="N4" s="8" t="s">
        <v>86</v>
      </c>
      <c r="O4" s="8" t="s">
        <v>87</v>
      </c>
      <c r="P4" s="8" t="s">
        <v>88</v>
      </c>
      <c r="Q4" s="8" t="s">
        <v>76</v>
      </c>
      <c r="R4" s="8" t="s">
        <v>89</v>
      </c>
      <c r="S4" s="8" t="s">
        <v>90</v>
      </c>
      <c r="T4" s="9" t="n">
        <f aca="false">COUNTIF(Responsibilities!$B:$B,A4)</f>
        <v>8</v>
      </c>
    </row>
    <row r="5" customFormat="false" ht="32.8" hidden="false" customHeight="false" outlineLevel="0" collapsed="false">
      <c r="A5" s="7" t="s">
        <v>91</v>
      </c>
      <c r="B5" s="8" t="s">
        <v>92</v>
      </c>
      <c r="C5" s="8" t="s">
        <v>67</v>
      </c>
      <c r="D5" s="8" t="s">
        <v>50</v>
      </c>
      <c r="E5" s="8" t="s">
        <v>65</v>
      </c>
      <c r="F5" s="8" t="s">
        <v>52</v>
      </c>
      <c r="G5" s="8" t="s">
        <v>53</v>
      </c>
      <c r="H5" s="8" t="s">
        <v>93</v>
      </c>
      <c r="I5" s="8" t="s">
        <v>94</v>
      </c>
      <c r="J5" s="8" t="s">
        <v>95</v>
      </c>
      <c r="K5" s="8" t="s">
        <v>96</v>
      </c>
      <c r="L5" s="8" t="s">
        <v>97</v>
      </c>
      <c r="M5" s="8" t="s">
        <v>51</v>
      </c>
      <c r="N5" s="8" t="s">
        <v>98</v>
      </c>
      <c r="O5" s="8" t="s">
        <v>99</v>
      </c>
      <c r="P5" s="8" t="s">
        <v>100</v>
      </c>
      <c r="Q5" s="8" t="s">
        <v>76</v>
      </c>
      <c r="R5" s="8" t="s">
        <v>101</v>
      </c>
      <c r="S5" s="8" t="s">
        <v>102</v>
      </c>
      <c r="T5" s="9" t="n">
        <f aca="false">COUNTIF(Responsibilities!$B:$B,A5)</f>
        <v>5</v>
      </c>
    </row>
    <row r="6" customFormat="false" ht="32.8" hidden="false" customHeight="false" outlineLevel="0" collapsed="false">
      <c r="A6" s="7" t="s">
        <v>103</v>
      </c>
      <c r="B6" s="8" t="s">
        <v>104</v>
      </c>
      <c r="C6" s="8" t="s">
        <v>67</v>
      </c>
      <c r="D6" s="8" t="s">
        <v>50</v>
      </c>
      <c r="E6" s="8" t="s">
        <v>65</v>
      </c>
      <c r="F6" s="8" t="s">
        <v>52</v>
      </c>
      <c r="G6" s="8" t="s">
        <v>53</v>
      </c>
      <c r="H6" s="8" t="s">
        <v>105</v>
      </c>
      <c r="I6" s="8" t="s">
        <v>106</v>
      </c>
      <c r="J6" s="8" t="s">
        <v>107</v>
      </c>
      <c r="K6" s="8" t="s">
        <v>108</v>
      </c>
      <c r="L6" s="8" t="s">
        <v>109</v>
      </c>
      <c r="M6" s="8" t="s">
        <v>51</v>
      </c>
      <c r="N6" s="8" t="s">
        <v>110</v>
      </c>
      <c r="O6" s="8" t="s">
        <v>51</v>
      </c>
      <c r="P6" s="8" t="s">
        <v>111</v>
      </c>
      <c r="Q6" s="8" t="s">
        <v>76</v>
      </c>
      <c r="R6" s="8" t="s">
        <v>112</v>
      </c>
      <c r="S6" s="8" t="s">
        <v>113</v>
      </c>
      <c r="T6" s="9" t="n">
        <f aca="false">COUNTIF(Responsibilities!$B:$B,A6)</f>
        <v>14</v>
      </c>
    </row>
    <row r="7" customFormat="false" ht="32.8" hidden="false" customHeight="false" outlineLevel="0" collapsed="false">
      <c r="A7" s="7" t="s">
        <v>114</v>
      </c>
      <c r="B7" s="8" t="s">
        <v>115</v>
      </c>
      <c r="C7" s="8" t="s">
        <v>67</v>
      </c>
      <c r="D7" s="8" t="s">
        <v>50</v>
      </c>
      <c r="E7" s="8" t="s">
        <v>47</v>
      </c>
      <c r="F7" s="8" t="s">
        <v>52</v>
      </c>
      <c r="G7" s="8" t="s">
        <v>53</v>
      </c>
      <c r="H7" s="8" t="s">
        <v>116</v>
      </c>
      <c r="I7" s="8" t="s">
        <v>117</v>
      </c>
      <c r="J7" s="8" t="s">
        <v>118</v>
      </c>
      <c r="K7" s="8" t="s">
        <v>119</v>
      </c>
      <c r="L7" s="8" t="s">
        <v>120</v>
      </c>
      <c r="M7" s="8" t="s">
        <v>51</v>
      </c>
      <c r="N7" s="8" t="s">
        <v>121</v>
      </c>
      <c r="O7" s="8" t="s">
        <v>122</v>
      </c>
      <c r="P7" s="8" t="s">
        <v>123</v>
      </c>
      <c r="Q7" s="8" t="s">
        <v>124</v>
      </c>
      <c r="R7" s="8" t="s">
        <v>89</v>
      </c>
      <c r="S7" s="8" t="s">
        <v>125</v>
      </c>
      <c r="T7" s="9" t="n">
        <f aca="false">COUNTIF(Responsibilities!$B:$B,A7)</f>
        <v>11</v>
      </c>
    </row>
    <row r="8" customFormat="false" ht="32.8" hidden="false" customHeight="false" outlineLevel="0" collapsed="false">
      <c r="A8" s="7" t="s">
        <v>126</v>
      </c>
      <c r="B8" s="8" t="s">
        <v>127</v>
      </c>
      <c r="C8" s="8" t="s">
        <v>67</v>
      </c>
      <c r="D8" s="8" t="s">
        <v>50</v>
      </c>
      <c r="E8" s="8" t="s">
        <v>47</v>
      </c>
      <c r="F8" s="8" t="s">
        <v>52</v>
      </c>
      <c r="G8" s="8" t="s">
        <v>53</v>
      </c>
      <c r="H8" s="8" t="s">
        <v>128</v>
      </c>
      <c r="I8" s="8" t="s">
        <v>129</v>
      </c>
      <c r="J8" s="8" t="s">
        <v>130</v>
      </c>
      <c r="K8" s="8" t="s">
        <v>131</v>
      </c>
      <c r="L8" s="8" t="s">
        <v>132</v>
      </c>
      <c r="M8" s="8" t="s">
        <v>51</v>
      </c>
      <c r="N8" s="8" t="s">
        <v>133</v>
      </c>
      <c r="O8" s="8" t="s">
        <v>134</v>
      </c>
      <c r="P8" s="8" t="s">
        <v>135</v>
      </c>
      <c r="Q8" s="8" t="s">
        <v>124</v>
      </c>
      <c r="R8" s="8" t="s">
        <v>89</v>
      </c>
      <c r="S8" s="8" t="s">
        <v>136</v>
      </c>
      <c r="T8" s="9" t="n">
        <f aca="false">COUNTIF(Responsibilities!$B:$B,A8)</f>
        <v>10</v>
      </c>
    </row>
    <row r="9" customFormat="false" ht="32.8" hidden="false" customHeight="false" outlineLevel="0" collapsed="false">
      <c r="A9" s="7" t="s">
        <v>137</v>
      </c>
      <c r="B9" s="8" t="s">
        <v>138</v>
      </c>
      <c r="C9" s="8" t="s">
        <v>67</v>
      </c>
      <c r="D9" s="8" t="s">
        <v>50</v>
      </c>
      <c r="E9" s="8" t="s">
        <v>47</v>
      </c>
      <c r="F9" s="8" t="s">
        <v>52</v>
      </c>
      <c r="G9" s="8" t="s">
        <v>53</v>
      </c>
      <c r="H9" s="8" t="s">
        <v>139</v>
      </c>
      <c r="I9" s="8" t="s">
        <v>140</v>
      </c>
      <c r="J9" s="8" t="s">
        <v>141</v>
      </c>
      <c r="K9" s="8" t="s">
        <v>142</v>
      </c>
      <c r="L9" s="8" t="s">
        <v>47</v>
      </c>
      <c r="M9" s="8" t="s">
        <v>51</v>
      </c>
      <c r="N9" s="8" t="s">
        <v>143</v>
      </c>
      <c r="O9" s="8" t="s">
        <v>144</v>
      </c>
      <c r="P9" s="8" t="s">
        <v>145</v>
      </c>
      <c r="Q9" s="8" t="s">
        <v>146</v>
      </c>
      <c r="R9" s="8" t="s">
        <v>147</v>
      </c>
      <c r="S9" s="8" t="s">
        <v>148</v>
      </c>
      <c r="T9" s="9" t="n">
        <f aca="false">COUNTIF(Responsibilities!$B:$B,A9)</f>
        <v>33</v>
      </c>
    </row>
    <row r="10" customFormat="false" ht="32.8" hidden="false" customHeight="false" outlineLevel="0" collapsed="false">
      <c r="A10" s="10" t="s">
        <v>149</v>
      </c>
      <c r="B10" s="11" t="s">
        <v>150</v>
      </c>
      <c r="C10" s="11" t="s">
        <v>151</v>
      </c>
      <c r="D10" s="11" t="s">
        <v>152</v>
      </c>
      <c r="E10" s="11" t="s">
        <v>153</v>
      </c>
      <c r="F10" s="11" t="s">
        <v>154</v>
      </c>
      <c r="G10" s="11" t="s">
        <v>155</v>
      </c>
      <c r="H10" s="11" t="s">
        <v>156</v>
      </c>
      <c r="I10" s="11" t="s">
        <v>157</v>
      </c>
      <c r="J10" s="11" t="s">
        <v>158</v>
      </c>
      <c r="K10" s="11" t="s">
        <v>159</v>
      </c>
      <c r="L10" s="11" t="s">
        <v>160</v>
      </c>
      <c r="M10" s="11" t="s">
        <v>51</v>
      </c>
      <c r="N10" s="11" t="s">
        <v>161</v>
      </c>
      <c r="O10" s="11" t="s">
        <v>51</v>
      </c>
      <c r="P10" s="11" t="s">
        <v>162</v>
      </c>
      <c r="Q10" s="11" t="s">
        <v>76</v>
      </c>
      <c r="R10" s="11" t="s">
        <v>89</v>
      </c>
      <c r="S10" s="11" t="s">
        <v>163</v>
      </c>
      <c r="T10" s="12" t="n">
        <f aca="false">COUNTIF(Responsibilities!$B:$B,A10)</f>
        <v>15</v>
      </c>
    </row>
    <row r="11" customFormat="false" ht="43.25" hidden="false" customHeight="false" outlineLevel="0" collapsed="false">
      <c r="A11" s="10" t="s">
        <v>153</v>
      </c>
      <c r="B11" s="11" t="s">
        <v>164</v>
      </c>
      <c r="C11" s="11" t="s">
        <v>151</v>
      </c>
      <c r="D11" s="11" t="s">
        <v>152</v>
      </c>
      <c r="E11" s="11" t="s">
        <v>65</v>
      </c>
      <c r="F11" s="11" t="s">
        <v>154</v>
      </c>
      <c r="G11" s="11" t="s">
        <v>155</v>
      </c>
      <c r="H11" s="11" t="s">
        <v>165</v>
      </c>
      <c r="I11" s="11" t="s">
        <v>166</v>
      </c>
      <c r="J11" s="11" t="s">
        <v>167</v>
      </c>
      <c r="K11" s="11" t="s">
        <v>168</v>
      </c>
      <c r="L11" s="11" t="s">
        <v>169</v>
      </c>
      <c r="M11" s="11" t="s">
        <v>51</v>
      </c>
      <c r="N11" s="11" t="s">
        <v>170</v>
      </c>
      <c r="O11" s="11" t="s">
        <v>171</v>
      </c>
      <c r="P11" s="11" t="s">
        <v>172</v>
      </c>
      <c r="Q11" s="11" t="s">
        <v>76</v>
      </c>
      <c r="R11" s="11" t="s">
        <v>89</v>
      </c>
      <c r="S11" s="11" t="s">
        <v>173</v>
      </c>
      <c r="T11" s="12" t="n">
        <f aca="false">COUNTIF(Responsibilities!$B:$B,A11)</f>
        <v>25</v>
      </c>
    </row>
    <row r="12" customFormat="false" ht="43.25" hidden="false" customHeight="false" outlineLevel="0" collapsed="false">
      <c r="A12" s="10" t="s">
        <v>174</v>
      </c>
      <c r="B12" s="11" t="s">
        <v>175</v>
      </c>
      <c r="C12" s="11" t="s">
        <v>151</v>
      </c>
      <c r="D12" s="11" t="s">
        <v>152</v>
      </c>
      <c r="E12" s="11" t="s">
        <v>153</v>
      </c>
      <c r="F12" s="11" t="s">
        <v>154</v>
      </c>
      <c r="G12" s="11" t="s">
        <v>155</v>
      </c>
      <c r="H12" s="11" t="s">
        <v>176</v>
      </c>
      <c r="I12" s="11" t="s">
        <v>177</v>
      </c>
      <c r="J12" s="11" t="s">
        <v>178</v>
      </c>
      <c r="K12" s="11" t="s">
        <v>179</v>
      </c>
      <c r="L12" s="11" t="s">
        <v>180</v>
      </c>
      <c r="M12" s="11" t="s">
        <v>181</v>
      </c>
      <c r="N12" s="11" t="s">
        <v>182</v>
      </c>
      <c r="O12" s="11" t="s">
        <v>183</v>
      </c>
      <c r="P12" s="11" t="s">
        <v>184</v>
      </c>
      <c r="Q12" s="11" t="s">
        <v>76</v>
      </c>
      <c r="R12" s="11" t="s">
        <v>185</v>
      </c>
      <c r="S12" s="11" t="s">
        <v>186</v>
      </c>
      <c r="T12" s="12" t="n">
        <f aca="false">COUNTIF(Responsibilities!$B:$B,A12)</f>
        <v>16</v>
      </c>
    </row>
    <row r="13" customFormat="false" ht="32.8" hidden="false" customHeight="false" outlineLevel="0" collapsed="false">
      <c r="A13" s="10" t="s">
        <v>187</v>
      </c>
      <c r="B13" s="11" t="s">
        <v>188</v>
      </c>
      <c r="C13" s="11" t="s">
        <v>151</v>
      </c>
      <c r="D13" s="11" t="s">
        <v>152</v>
      </c>
      <c r="E13" s="11" t="s">
        <v>47</v>
      </c>
      <c r="F13" s="11" t="s">
        <v>154</v>
      </c>
      <c r="G13" s="11" t="s">
        <v>155</v>
      </c>
      <c r="H13" s="11" t="s">
        <v>189</v>
      </c>
      <c r="I13" s="11" t="s">
        <v>190</v>
      </c>
      <c r="J13" s="11" t="s">
        <v>191</v>
      </c>
      <c r="K13" s="11" t="s">
        <v>192</v>
      </c>
      <c r="L13" s="11" t="s">
        <v>193</v>
      </c>
      <c r="M13" s="11" t="s">
        <v>51</v>
      </c>
      <c r="N13" s="11" t="s">
        <v>194</v>
      </c>
      <c r="O13" s="11" t="s">
        <v>195</v>
      </c>
      <c r="P13" s="11" t="s">
        <v>196</v>
      </c>
      <c r="Q13" s="11" t="s">
        <v>124</v>
      </c>
      <c r="R13" s="11" t="s">
        <v>197</v>
      </c>
      <c r="S13" s="11" t="s">
        <v>198</v>
      </c>
      <c r="T13" s="12" t="n">
        <f aca="false">COUNTIF(Responsibilities!$B:$B,A13)</f>
        <v>15</v>
      </c>
    </row>
    <row r="14" customFormat="false" ht="22.35" hidden="false" customHeight="false" outlineLevel="0" collapsed="false">
      <c r="A14" s="10" t="s">
        <v>199</v>
      </c>
      <c r="B14" s="11" t="s">
        <v>200</v>
      </c>
      <c r="C14" s="11" t="s">
        <v>151</v>
      </c>
      <c r="D14" s="11" t="s">
        <v>152</v>
      </c>
      <c r="E14" s="11" t="s">
        <v>153</v>
      </c>
      <c r="F14" s="11" t="s">
        <v>154</v>
      </c>
      <c r="G14" s="11" t="s">
        <v>155</v>
      </c>
      <c r="H14" s="11" t="s">
        <v>201</v>
      </c>
      <c r="I14" s="11" t="s">
        <v>202</v>
      </c>
      <c r="J14" s="11" t="s">
        <v>203</v>
      </c>
      <c r="K14" s="11" t="s">
        <v>204</v>
      </c>
      <c r="L14" s="11" t="s">
        <v>205</v>
      </c>
      <c r="M14" s="11" t="s">
        <v>51</v>
      </c>
      <c r="N14" s="11" t="s">
        <v>206</v>
      </c>
      <c r="O14" s="11" t="s">
        <v>207</v>
      </c>
      <c r="P14" s="11" t="s">
        <v>208</v>
      </c>
      <c r="Q14" s="11" t="s">
        <v>76</v>
      </c>
      <c r="R14" s="11" t="s">
        <v>89</v>
      </c>
      <c r="S14" s="11" t="s">
        <v>209</v>
      </c>
      <c r="T14" s="12" t="n">
        <f aca="false">COUNTIF(Responsibilities!$B:$B,A14)</f>
        <v>8</v>
      </c>
    </row>
    <row r="15" customFormat="false" ht="22.35" hidden="false" customHeight="false" outlineLevel="0" collapsed="false">
      <c r="A15" s="10" t="s">
        <v>210</v>
      </c>
      <c r="B15" s="11" t="s">
        <v>211</v>
      </c>
      <c r="C15" s="11" t="s">
        <v>151</v>
      </c>
      <c r="D15" s="11" t="s">
        <v>152</v>
      </c>
      <c r="E15" s="11" t="s">
        <v>153</v>
      </c>
      <c r="F15" s="11" t="s">
        <v>154</v>
      </c>
      <c r="G15" s="11" t="s">
        <v>155</v>
      </c>
      <c r="H15" s="11" t="s">
        <v>212</v>
      </c>
      <c r="I15" s="11" t="s">
        <v>213</v>
      </c>
      <c r="J15" s="11" t="s">
        <v>214</v>
      </c>
      <c r="K15" s="11" t="s">
        <v>215</v>
      </c>
      <c r="L15" s="11" t="s">
        <v>216</v>
      </c>
      <c r="M15" s="11" t="s">
        <v>51</v>
      </c>
      <c r="N15" s="11" t="s">
        <v>217</v>
      </c>
      <c r="O15" s="11" t="s">
        <v>51</v>
      </c>
      <c r="P15" s="11" t="s">
        <v>218</v>
      </c>
      <c r="Q15" s="11" t="s">
        <v>76</v>
      </c>
      <c r="R15" s="11" t="s">
        <v>89</v>
      </c>
      <c r="S15" s="11" t="s">
        <v>219</v>
      </c>
      <c r="T15" s="12" t="n">
        <f aca="false">COUNTIF(Responsibilities!$B:$B,A15)</f>
        <v>10</v>
      </c>
    </row>
    <row r="16" customFormat="false" ht="32.8" hidden="false" customHeight="false" outlineLevel="0" collapsed="false">
      <c r="A16" s="10" t="s">
        <v>220</v>
      </c>
      <c r="B16" s="11" t="s">
        <v>221</v>
      </c>
      <c r="C16" s="11" t="s">
        <v>151</v>
      </c>
      <c r="D16" s="11" t="s">
        <v>152</v>
      </c>
      <c r="E16" s="11" t="s">
        <v>187</v>
      </c>
      <c r="F16" s="11" t="s">
        <v>154</v>
      </c>
      <c r="G16" s="11" t="s">
        <v>155</v>
      </c>
      <c r="H16" s="11" t="s">
        <v>222</v>
      </c>
      <c r="I16" s="11" t="s">
        <v>223</v>
      </c>
      <c r="J16" s="11" t="s">
        <v>224</v>
      </c>
      <c r="K16" s="11" t="s">
        <v>225</v>
      </c>
      <c r="L16" s="11" t="s">
        <v>226</v>
      </c>
      <c r="M16" s="11" t="s">
        <v>51</v>
      </c>
      <c r="N16" s="11" t="s">
        <v>227</v>
      </c>
      <c r="O16" s="11" t="s">
        <v>51</v>
      </c>
      <c r="P16" s="11" t="s">
        <v>228</v>
      </c>
      <c r="Q16" s="11" t="s">
        <v>76</v>
      </c>
      <c r="R16" s="11" t="s">
        <v>89</v>
      </c>
      <c r="S16" s="11" t="s">
        <v>229</v>
      </c>
      <c r="T16" s="12" t="n">
        <f aca="false">COUNTIF(Responsibilities!$B:$B,A16)</f>
        <v>12</v>
      </c>
    </row>
    <row r="17" customFormat="false" ht="32.8" hidden="false" customHeight="false" outlineLevel="0" collapsed="false">
      <c r="A17" s="10" t="s">
        <v>230</v>
      </c>
      <c r="B17" s="11" t="s">
        <v>231</v>
      </c>
      <c r="C17" s="11" t="s">
        <v>151</v>
      </c>
      <c r="D17" s="11" t="s">
        <v>152</v>
      </c>
      <c r="E17" s="11" t="s">
        <v>153</v>
      </c>
      <c r="F17" s="11" t="s">
        <v>154</v>
      </c>
      <c r="G17" s="11" t="s">
        <v>155</v>
      </c>
      <c r="H17" s="11" t="s">
        <v>232</v>
      </c>
      <c r="I17" s="11" t="s">
        <v>233</v>
      </c>
      <c r="J17" s="11" t="s">
        <v>234</v>
      </c>
      <c r="K17" s="11" t="s">
        <v>235</v>
      </c>
      <c r="L17" s="11" t="s">
        <v>236</v>
      </c>
      <c r="M17" s="11" t="s">
        <v>51</v>
      </c>
      <c r="N17" s="11" t="s">
        <v>237</v>
      </c>
      <c r="O17" s="11" t="s">
        <v>51</v>
      </c>
      <c r="P17" s="11" t="s">
        <v>238</v>
      </c>
      <c r="Q17" s="11" t="s">
        <v>76</v>
      </c>
      <c r="R17" s="11" t="s">
        <v>89</v>
      </c>
      <c r="S17" s="11" t="s">
        <v>239</v>
      </c>
      <c r="T17" s="12" t="n">
        <f aca="false">COUNTIF(Responsibilities!$B:$B,A17)</f>
        <v>9</v>
      </c>
    </row>
    <row r="18" customFormat="false" ht="32.8" hidden="false" customHeight="false" outlineLevel="0" collapsed="false">
      <c r="A18" s="10" t="s">
        <v>240</v>
      </c>
      <c r="B18" s="11" t="s">
        <v>241</v>
      </c>
      <c r="C18" s="11" t="s">
        <v>151</v>
      </c>
      <c r="D18" s="11" t="s">
        <v>152</v>
      </c>
      <c r="E18" s="11" t="s">
        <v>153</v>
      </c>
      <c r="F18" s="11" t="s">
        <v>154</v>
      </c>
      <c r="G18" s="11" t="s">
        <v>155</v>
      </c>
      <c r="H18" s="11" t="s">
        <v>242</v>
      </c>
      <c r="I18" s="11" t="s">
        <v>243</v>
      </c>
      <c r="J18" s="11" t="s">
        <v>244</v>
      </c>
      <c r="K18" s="11" t="s">
        <v>245</v>
      </c>
      <c r="L18" s="11" t="s">
        <v>246</v>
      </c>
      <c r="M18" s="11" t="s">
        <v>247</v>
      </c>
      <c r="N18" s="11" t="s">
        <v>248</v>
      </c>
      <c r="O18" s="11" t="s">
        <v>51</v>
      </c>
      <c r="P18" s="11" t="s">
        <v>249</v>
      </c>
      <c r="Q18" s="11" t="s">
        <v>76</v>
      </c>
      <c r="R18" s="11" t="s">
        <v>89</v>
      </c>
      <c r="S18" s="11" t="s">
        <v>250</v>
      </c>
      <c r="T18" s="12" t="n">
        <f aca="false">COUNTIF(Responsibilities!$B:$B,A18)</f>
        <v>8</v>
      </c>
    </row>
    <row r="19" customFormat="false" ht="32.8" hidden="false" customHeight="false" outlineLevel="0" collapsed="false">
      <c r="A19" s="10" t="s">
        <v>251</v>
      </c>
      <c r="B19" s="11" t="s">
        <v>252</v>
      </c>
      <c r="C19" s="11" t="s">
        <v>151</v>
      </c>
      <c r="D19" s="11" t="s">
        <v>152</v>
      </c>
      <c r="E19" s="11" t="s">
        <v>153</v>
      </c>
      <c r="F19" s="11" t="s">
        <v>154</v>
      </c>
      <c r="G19" s="11" t="s">
        <v>155</v>
      </c>
      <c r="H19" s="11" t="s">
        <v>253</v>
      </c>
      <c r="I19" s="11" t="s">
        <v>254</v>
      </c>
      <c r="J19" s="11" t="s">
        <v>255</v>
      </c>
      <c r="K19" s="11" t="s">
        <v>256</v>
      </c>
      <c r="L19" s="11" t="s">
        <v>257</v>
      </c>
      <c r="M19" s="11" t="s">
        <v>51</v>
      </c>
      <c r="N19" s="11" t="s">
        <v>258</v>
      </c>
      <c r="O19" s="11" t="s">
        <v>51</v>
      </c>
      <c r="P19" s="11" t="s">
        <v>259</v>
      </c>
      <c r="Q19" s="11" t="s">
        <v>76</v>
      </c>
      <c r="R19" s="11" t="s">
        <v>89</v>
      </c>
      <c r="S19" s="11" t="s">
        <v>260</v>
      </c>
      <c r="T19" s="12" t="n">
        <f aca="false">COUNTIF(Responsibilities!$B:$B,A19)</f>
        <v>9</v>
      </c>
    </row>
    <row r="20" customFormat="false" ht="32.8" hidden="false" customHeight="false" outlineLevel="0" collapsed="false">
      <c r="A20" s="10" t="s">
        <v>261</v>
      </c>
      <c r="B20" s="11" t="s">
        <v>262</v>
      </c>
      <c r="C20" s="11" t="s">
        <v>151</v>
      </c>
      <c r="D20" s="11" t="s">
        <v>152</v>
      </c>
      <c r="E20" s="11" t="s">
        <v>187</v>
      </c>
      <c r="F20" s="11" t="s">
        <v>154</v>
      </c>
      <c r="G20" s="11" t="s">
        <v>155</v>
      </c>
      <c r="H20" s="11" t="s">
        <v>263</v>
      </c>
      <c r="I20" s="11" t="s">
        <v>264</v>
      </c>
      <c r="J20" s="11" t="s">
        <v>265</v>
      </c>
      <c r="K20" s="11" t="s">
        <v>266</v>
      </c>
      <c r="L20" s="11" t="s">
        <v>267</v>
      </c>
      <c r="M20" s="11" t="s">
        <v>51</v>
      </c>
      <c r="N20" s="11" t="s">
        <v>268</v>
      </c>
      <c r="O20" s="11" t="s">
        <v>269</v>
      </c>
      <c r="P20" s="11" t="s">
        <v>270</v>
      </c>
      <c r="Q20" s="11" t="s">
        <v>124</v>
      </c>
      <c r="R20" s="11" t="s">
        <v>89</v>
      </c>
      <c r="S20" s="11" t="s">
        <v>271</v>
      </c>
      <c r="T20" s="12" t="n">
        <f aca="false">COUNTIF(Responsibilities!$B:$B,A20)</f>
        <v>9</v>
      </c>
    </row>
    <row r="21" customFormat="false" ht="43.25" hidden="false" customHeight="false" outlineLevel="0" collapsed="false">
      <c r="A21" s="10" t="s">
        <v>272</v>
      </c>
      <c r="B21" s="11" t="s">
        <v>273</v>
      </c>
      <c r="C21" s="11" t="s">
        <v>151</v>
      </c>
      <c r="D21" s="11" t="s">
        <v>152</v>
      </c>
      <c r="E21" s="11" t="s">
        <v>153</v>
      </c>
      <c r="F21" s="11" t="s">
        <v>154</v>
      </c>
      <c r="G21" s="11" t="s">
        <v>155</v>
      </c>
      <c r="H21" s="11" t="s">
        <v>274</v>
      </c>
      <c r="I21" s="11" t="s">
        <v>275</v>
      </c>
      <c r="J21" s="11" t="s">
        <v>276</v>
      </c>
      <c r="K21" s="11" t="s">
        <v>277</v>
      </c>
      <c r="L21" s="11" t="s">
        <v>278</v>
      </c>
      <c r="M21" s="11" t="s">
        <v>51</v>
      </c>
      <c r="N21" s="11" t="s">
        <v>279</v>
      </c>
      <c r="O21" s="11" t="s">
        <v>51</v>
      </c>
      <c r="P21" s="11" t="s">
        <v>280</v>
      </c>
      <c r="Q21" s="11" t="s">
        <v>76</v>
      </c>
      <c r="R21" s="11" t="s">
        <v>89</v>
      </c>
      <c r="S21" s="11" t="s">
        <v>281</v>
      </c>
      <c r="T21" s="12" t="n">
        <f aca="false">COUNTIF(Responsibilities!$B:$B,A21)</f>
        <v>32</v>
      </c>
    </row>
    <row r="22" customFormat="false" ht="32.8" hidden="false" customHeight="false" outlineLevel="0" collapsed="false">
      <c r="A22" s="10" t="s">
        <v>282</v>
      </c>
      <c r="B22" s="11" t="s">
        <v>283</v>
      </c>
      <c r="C22" s="11" t="s">
        <v>151</v>
      </c>
      <c r="D22" s="11" t="s">
        <v>152</v>
      </c>
      <c r="E22" s="11" t="s">
        <v>187</v>
      </c>
      <c r="F22" s="11" t="s">
        <v>154</v>
      </c>
      <c r="G22" s="11" t="s">
        <v>155</v>
      </c>
      <c r="H22" s="11" t="s">
        <v>284</v>
      </c>
      <c r="I22" s="11" t="s">
        <v>285</v>
      </c>
      <c r="J22" s="11" t="s">
        <v>286</v>
      </c>
      <c r="K22" s="11" t="s">
        <v>287</v>
      </c>
      <c r="L22" s="11" t="s">
        <v>288</v>
      </c>
      <c r="M22" s="11" t="s">
        <v>51</v>
      </c>
      <c r="N22" s="11" t="s">
        <v>289</v>
      </c>
      <c r="O22" s="11" t="s">
        <v>51</v>
      </c>
      <c r="P22" s="11" t="s">
        <v>290</v>
      </c>
      <c r="Q22" s="11" t="s">
        <v>76</v>
      </c>
      <c r="R22" s="11" t="s">
        <v>89</v>
      </c>
      <c r="S22" s="11" t="s">
        <v>291</v>
      </c>
      <c r="T22" s="12" t="n">
        <f aca="false">COUNTIF(Responsibilities!$B:$B,A22)</f>
        <v>8</v>
      </c>
    </row>
    <row r="23" customFormat="false" ht="22.35" hidden="false" customHeight="false" outlineLevel="0" collapsed="false">
      <c r="A23" s="10" t="s">
        <v>292</v>
      </c>
      <c r="B23" s="11" t="s">
        <v>293</v>
      </c>
      <c r="C23" s="11" t="s">
        <v>151</v>
      </c>
      <c r="D23" s="11" t="s">
        <v>152</v>
      </c>
      <c r="E23" s="11" t="s">
        <v>153</v>
      </c>
      <c r="F23" s="11" t="s">
        <v>154</v>
      </c>
      <c r="G23" s="11" t="s">
        <v>155</v>
      </c>
      <c r="H23" s="11" t="s">
        <v>294</v>
      </c>
      <c r="I23" s="11" t="s">
        <v>295</v>
      </c>
      <c r="J23" s="11" t="s">
        <v>296</v>
      </c>
      <c r="K23" s="11" t="s">
        <v>297</v>
      </c>
      <c r="L23" s="11" t="s">
        <v>298</v>
      </c>
      <c r="M23" s="11" t="s">
        <v>51</v>
      </c>
      <c r="N23" s="11" t="s">
        <v>299</v>
      </c>
      <c r="O23" s="11" t="s">
        <v>51</v>
      </c>
      <c r="P23" s="11" t="s">
        <v>300</v>
      </c>
      <c r="Q23" s="11" t="s">
        <v>76</v>
      </c>
      <c r="R23" s="11" t="s">
        <v>89</v>
      </c>
      <c r="S23" s="11" t="s">
        <v>301</v>
      </c>
      <c r="T23" s="12" t="n">
        <f aca="false">COUNTIF(Responsibilities!$B:$B,A23)</f>
        <v>8</v>
      </c>
    </row>
    <row r="24" customFormat="false" ht="32.8" hidden="false" customHeight="false" outlineLevel="0" collapsed="false">
      <c r="A24" s="10" t="s">
        <v>302</v>
      </c>
      <c r="B24" s="11" t="s">
        <v>303</v>
      </c>
      <c r="C24" s="11" t="s">
        <v>151</v>
      </c>
      <c r="D24" s="11" t="s">
        <v>152</v>
      </c>
      <c r="E24" s="11" t="s">
        <v>174</v>
      </c>
      <c r="F24" s="11" t="s">
        <v>154</v>
      </c>
      <c r="G24" s="11" t="s">
        <v>155</v>
      </c>
      <c r="H24" s="11" t="s">
        <v>304</v>
      </c>
      <c r="I24" s="11" t="s">
        <v>305</v>
      </c>
      <c r="J24" s="11" t="s">
        <v>306</v>
      </c>
      <c r="K24" s="11" t="s">
        <v>307</v>
      </c>
      <c r="L24" s="11" t="s">
        <v>308</v>
      </c>
      <c r="M24" s="11" t="s">
        <v>309</v>
      </c>
      <c r="N24" s="11" t="s">
        <v>310</v>
      </c>
      <c r="O24" s="11" t="s">
        <v>51</v>
      </c>
      <c r="P24" s="11" t="s">
        <v>311</v>
      </c>
      <c r="Q24" s="11" t="s">
        <v>76</v>
      </c>
      <c r="R24" s="11" t="s">
        <v>312</v>
      </c>
      <c r="S24" s="11" t="s">
        <v>313</v>
      </c>
      <c r="T24" s="12" t="n">
        <f aca="false">COUNTIF(Responsibilities!$B:$B,A24)</f>
        <v>5</v>
      </c>
    </row>
    <row r="25" customFormat="false" ht="32.8" hidden="false" customHeight="false" outlineLevel="0" collapsed="false">
      <c r="A25" s="10" t="s">
        <v>314</v>
      </c>
      <c r="B25" s="11" t="s">
        <v>315</v>
      </c>
      <c r="C25" s="11" t="s">
        <v>151</v>
      </c>
      <c r="D25" s="11" t="s">
        <v>152</v>
      </c>
      <c r="E25" s="11" t="s">
        <v>47</v>
      </c>
      <c r="F25" s="11" t="s">
        <v>154</v>
      </c>
      <c r="G25" s="11" t="s">
        <v>155</v>
      </c>
      <c r="H25" s="11" t="s">
        <v>316</v>
      </c>
      <c r="I25" s="11" t="s">
        <v>317</v>
      </c>
      <c r="J25" s="11" t="s">
        <v>318</v>
      </c>
      <c r="K25" s="11" t="s">
        <v>319</v>
      </c>
      <c r="L25" s="11" t="s">
        <v>320</v>
      </c>
      <c r="M25" s="11" t="s">
        <v>51</v>
      </c>
      <c r="N25" s="11" t="s">
        <v>321</v>
      </c>
      <c r="O25" s="11" t="s">
        <v>322</v>
      </c>
      <c r="P25" s="11" t="s">
        <v>323</v>
      </c>
      <c r="Q25" s="11" t="s">
        <v>124</v>
      </c>
      <c r="R25" s="11" t="s">
        <v>89</v>
      </c>
      <c r="S25" s="11" t="s">
        <v>324</v>
      </c>
      <c r="T25" s="12" t="n">
        <f aca="false">COUNTIF(Responsibilities!$B:$B,A25)</f>
        <v>10</v>
      </c>
    </row>
    <row r="26" customFormat="false" ht="32.8" hidden="false" customHeight="false" outlineLevel="0" collapsed="false">
      <c r="A26" s="10" t="s">
        <v>325</v>
      </c>
      <c r="B26" s="11" t="s">
        <v>326</v>
      </c>
      <c r="C26" s="11" t="s">
        <v>151</v>
      </c>
      <c r="D26" s="11" t="s">
        <v>152</v>
      </c>
      <c r="E26" s="11" t="s">
        <v>153</v>
      </c>
      <c r="F26" s="11" t="s">
        <v>154</v>
      </c>
      <c r="G26" s="11" t="s">
        <v>155</v>
      </c>
      <c r="H26" s="11" t="s">
        <v>327</v>
      </c>
      <c r="I26" s="11" t="s">
        <v>328</v>
      </c>
      <c r="J26" s="11" t="s">
        <v>329</v>
      </c>
      <c r="K26" s="11" t="s">
        <v>330</v>
      </c>
      <c r="L26" s="11" t="s">
        <v>331</v>
      </c>
      <c r="M26" s="11" t="s">
        <v>51</v>
      </c>
      <c r="N26" s="11" t="s">
        <v>332</v>
      </c>
      <c r="O26" s="11" t="s">
        <v>333</v>
      </c>
      <c r="P26" s="11" t="s">
        <v>334</v>
      </c>
      <c r="Q26" s="11" t="s">
        <v>76</v>
      </c>
      <c r="R26" s="11" t="s">
        <v>89</v>
      </c>
      <c r="S26" s="11" t="s">
        <v>335</v>
      </c>
      <c r="T26" s="12" t="n">
        <f aca="false">COUNTIF(Responsibilities!$B:$B,A26)</f>
        <v>11</v>
      </c>
    </row>
    <row r="27" customFormat="false" ht="32.8" hidden="false" customHeight="false" outlineLevel="0" collapsed="false">
      <c r="A27" s="10" t="s">
        <v>336</v>
      </c>
      <c r="B27" s="11" t="s">
        <v>337</v>
      </c>
      <c r="C27" s="11" t="s">
        <v>151</v>
      </c>
      <c r="D27" s="11" t="s">
        <v>152</v>
      </c>
      <c r="E27" s="11" t="s">
        <v>79</v>
      </c>
      <c r="F27" s="11" t="s">
        <v>154</v>
      </c>
      <c r="G27" s="11" t="s">
        <v>155</v>
      </c>
      <c r="H27" s="11" t="s">
        <v>338</v>
      </c>
      <c r="I27" s="11" t="s">
        <v>339</v>
      </c>
      <c r="J27" s="11" t="s">
        <v>340</v>
      </c>
      <c r="K27" s="11" t="s">
        <v>341</v>
      </c>
      <c r="L27" s="11" t="s">
        <v>342</v>
      </c>
      <c r="M27" s="11" t="s">
        <v>51</v>
      </c>
      <c r="N27" s="11" t="s">
        <v>343</v>
      </c>
      <c r="O27" s="11" t="s">
        <v>51</v>
      </c>
      <c r="P27" s="11" t="s">
        <v>344</v>
      </c>
      <c r="Q27" s="11" t="s">
        <v>76</v>
      </c>
      <c r="R27" s="11" t="s">
        <v>89</v>
      </c>
      <c r="S27" s="11" t="s">
        <v>345</v>
      </c>
      <c r="T27" s="12" t="n">
        <f aca="false">COUNTIF(Responsibilities!$B:$B,A27)</f>
        <v>10</v>
      </c>
    </row>
    <row r="28" customFormat="false" ht="32.8" hidden="false" customHeight="false" outlineLevel="0" collapsed="false">
      <c r="A28" s="10" t="s">
        <v>346</v>
      </c>
      <c r="B28" s="11" t="s">
        <v>347</v>
      </c>
      <c r="C28" s="11" t="s">
        <v>151</v>
      </c>
      <c r="D28" s="11" t="s">
        <v>152</v>
      </c>
      <c r="E28" s="11" t="s">
        <v>47</v>
      </c>
      <c r="F28" s="11" t="s">
        <v>154</v>
      </c>
      <c r="G28" s="11" t="s">
        <v>155</v>
      </c>
      <c r="H28" s="11" t="s">
        <v>348</v>
      </c>
      <c r="I28" s="11" t="s">
        <v>349</v>
      </c>
      <c r="J28" s="11" t="s">
        <v>350</v>
      </c>
      <c r="K28" s="11" t="s">
        <v>351</v>
      </c>
      <c r="L28" s="11" t="s">
        <v>352</v>
      </c>
      <c r="M28" s="11" t="s">
        <v>51</v>
      </c>
      <c r="N28" s="11" t="s">
        <v>353</v>
      </c>
      <c r="O28" s="11" t="s">
        <v>354</v>
      </c>
      <c r="P28" s="11" t="s">
        <v>355</v>
      </c>
      <c r="Q28" s="11" t="s">
        <v>146</v>
      </c>
      <c r="R28" s="11" t="s">
        <v>89</v>
      </c>
      <c r="S28" s="11" t="s">
        <v>356</v>
      </c>
      <c r="T28" s="12" t="n">
        <f aca="false">COUNTIF(Responsibilities!$B:$B,A28)</f>
        <v>10</v>
      </c>
    </row>
    <row r="29" customFormat="false" ht="32.8" hidden="false" customHeight="false" outlineLevel="0" collapsed="false">
      <c r="A29" s="10" t="s">
        <v>357</v>
      </c>
      <c r="B29" s="11" t="s">
        <v>358</v>
      </c>
      <c r="C29" s="11" t="s">
        <v>151</v>
      </c>
      <c r="D29" s="11" t="s">
        <v>152</v>
      </c>
      <c r="E29" s="11" t="s">
        <v>153</v>
      </c>
      <c r="F29" s="11" t="s">
        <v>154</v>
      </c>
      <c r="G29" s="11" t="s">
        <v>155</v>
      </c>
      <c r="H29" s="11" t="s">
        <v>359</v>
      </c>
      <c r="I29" s="11" t="s">
        <v>360</v>
      </c>
      <c r="J29" s="11" t="s">
        <v>361</v>
      </c>
      <c r="K29" s="11" t="s">
        <v>362</v>
      </c>
      <c r="L29" s="11" t="s">
        <v>363</v>
      </c>
      <c r="M29" s="11" t="s">
        <v>364</v>
      </c>
      <c r="N29" s="11" t="s">
        <v>365</v>
      </c>
      <c r="O29" s="11" t="s">
        <v>51</v>
      </c>
      <c r="P29" s="11" t="s">
        <v>366</v>
      </c>
      <c r="Q29" s="11" t="s">
        <v>76</v>
      </c>
      <c r="R29" s="11" t="s">
        <v>89</v>
      </c>
      <c r="S29" s="11" t="s">
        <v>367</v>
      </c>
      <c r="T29" s="12" t="n">
        <f aca="false">COUNTIF(Responsibilities!$B:$B,A29)</f>
        <v>8</v>
      </c>
    </row>
    <row r="30" customFormat="false" ht="22.35" hidden="false" customHeight="false" outlineLevel="0" collapsed="false">
      <c r="A30" s="10" t="s">
        <v>368</v>
      </c>
      <c r="B30" s="11" t="s">
        <v>369</v>
      </c>
      <c r="C30" s="11" t="s">
        <v>151</v>
      </c>
      <c r="D30" s="11" t="s">
        <v>152</v>
      </c>
      <c r="E30" s="11" t="s">
        <v>153</v>
      </c>
      <c r="F30" s="11" t="s">
        <v>154</v>
      </c>
      <c r="G30" s="11" t="s">
        <v>155</v>
      </c>
      <c r="H30" s="11" t="s">
        <v>370</v>
      </c>
      <c r="I30" s="11" t="s">
        <v>371</v>
      </c>
      <c r="J30" s="11" t="s">
        <v>372</v>
      </c>
      <c r="K30" s="11" t="s">
        <v>373</v>
      </c>
      <c r="L30" s="11" t="s">
        <v>374</v>
      </c>
      <c r="M30" s="11" t="s">
        <v>51</v>
      </c>
      <c r="N30" s="11" t="s">
        <v>375</v>
      </c>
      <c r="O30" s="11" t="s">
        <v>51</v>
      </c>
      <c r="P30" s="11" t="s">
        <v>376</v>
      </c>
      <c r="Q30" s="11" t="s">
        <v>76</v>
      </c>
      <c r="R30" s="11" t="s">
        <v>89</v>
      </c>
      <c r="S30" s="11" t="s">
        <v>377</v>
      </c>
      <c r="T30" s="12" t="n">
        <f aca="false">COUNTIF(Responsibilities!$B:$B,A30)</f>
        <v>9</v>
      </c>
    </row>
    <row r="31" customFormat="false" ht="32.8" hidden="false" customHeight="false" outlineLevel="0" collapsed="false">
      <c r="A31" s="10" t="s">
        <v>378</v>
      </c>
      <c r="B31" s="11" t="s">
        <v>379</v>
      </c>
      <c r="C31" s="11" t="s">
        <v>151</v>
      </c>
      <c r="D31" s="11" t="s">
        <v>152</v>
      </c>
      <c r="E31" s="11" t="s">
        <v>153</v>
      </c>
      <c r="F31" s="11" t="s">
        <v>154</v>
      </c>
      <c r="G31" s="11" t="s">
        <v>155</v>
      </c>
      <c r="H31" s="11" t="s">
        <v>380</v>
      </c>
      <c r="I31" s="11" t="s">
        <v>381</v>
      </c>
      <c r="J31" s="11" t="s">
        <v>382</v>
      </c>
      <c r="K31" s="11" t="s">
        <v>383</v>
      </c>
      <c r="L31" s="11" t="s">
        <v>384</v>
      </c>
      <c r="M31" s="11" t="s">
        <v>51</v>
      </c>
      <c r="N31" s="11" t="s">
        <v>385</v>
      </c>
      <c r="O31" s="11" t="s">
        <v>51</v>
      </c>
      <c r="P31" s="11" t="s">
        <v>386</v>
      </c>
      <c r="Q31" s="11" t="s">
        <v>76</v>
      </c>
      <c r="R31" s="11" t="s">
        <v>89</v>
      </c>
      <c r="S31" s="11" t="s">
        <v>387</v>
      </c>
      <c r="T31" s="12" t="n">
        <f aca="false">COUNTIF(Responsibilities!$B:$B,A31)</f>
        <v>29</v>
      </c>
    </row>
    <row r="32" customFormat="false" ht="43.25" hidden="false" customHeight="false" outlineLevel="0" collapsed="false">
      <c r="A32" s="13" t="s">
        <v>388</v>
      </c>
      <c r="B32" s="14" t="s">
        <v>389</v>
      </c>
      <c r="C32" s="14" t="s">
        <v>390</v>
      </c>
      <c r="D32" s="14" t="s">
        <v>391</v>
      </c>
      <c r="E32" s="14" t="s">
        <v>187</v>
      </c>
      <c r="F32" s="14" t="s">
        <v>52</v>
      </c>
      <c r="G32" s="14" t="s">
        <v>392</v>
      </c>
      <c r="H32" s="14" t="s">
        <v>393</v>
      </c>
      <c r="I32" s="14" t="s">
        <v>394</v>
      </c>
      <c r="J32" s="14" t="s">
        <v>395</v>
      </c>
      <c r="K32" s="14" t="s">
        <v>396</v>
      </c>
      <c r="L32" s="14" t="s">
        <v>397</v>
      </c>
      <c r="M32" s="14" t="s">
        <v>51</v>
      </c>
      <c r="N32" s="14" t="s">
        <v>398</v>
      </c>
      <c r="O32" s="14" t="s">
        <v>399</v>
      </c>
      <c r="P32" s="14" t="s">
        <v>400</v>
      </c>
      <c r="Q32" s="14" t="s">
        <v>124</v>
      </c>
      <c r="R32" s="14" t="s">
        <v>401</v>
      </c>
      <c r="S32" s="14" t="s">
        <v>402</v>
      </c>
      <c r="T32" s="15" t="n">
        <f aca="false">COUNTIF(Responsibilities!$B:$B,A32)</f>
        <v>2</v>
      </c>
    </row>
    <row r="33" customFormat="false" ht="32.8" hidden="false" customHeight="false" outlineLevel="0" collapsed="false">
      <c r="A33" s="16" t="s">
        <v>403</v>
      </c>
      <c r="B33" s="17" t="s">
        <v>404</v>
      </c>
      <c r="C33" s="17" t="s">
        <v>405</v>
      </c>
      <c r="D33" s="17" t="s">
        <v>391</v>
      </c>
      <c r="E33" s="17" t="s">
        <v>388</v>
      </c>
      <c r="F33" s="17" t="s">
        <v>52</v>
      </c>
      <c r="G33" s="17" t="s">
        <v>392</v>
      </c>
      <c r="H33" s="17" t="s">
        <v>406</v>
      </c>
      <c r="I33" s="17" t="s">
        <v>407</v>
      </c>
      <c r="J33" s="17" t="s">
        <v>408</v>
      </c>
      <c r="K33" s="17" t="s">
        <v>409</v>
      </c>
      <c r="L33" s="17" t="s">
        <v>410</v>
      </c>
      <c r="M33" s="17" t="s">
        <v>51</v>
      </c>
      <c r="N33" s="17" t="s">
        <v>411</v>
      </c>
      <c r="O33" s="17" t="s">
        <v>412</v>
      </c>
      <c r="P33" s="17" t="s">
        <v>413</v>
      </c>
      <c r="Q33" s="17" t="s">
        <v>146</v>
      </c>
      <c r="R33" s="17" t="s">
        <v>414</v>
      </c>
      <c r="S33" s="17" t="s">
        <v>415</v>
      </c>
      <c r="T33" s="18" t="n">
        <f aca="false">COUNTIF(Responsibilities!$B:$B,A33)</f>
        <v>6</v>
      </c>
    </row>
    <row r="34" customFormat="false" ht="32.8" hidden="false" customHeight="false" outlineLevel="0" collapsed="false">
      <c r="A34" s="16" t="s">
        <v>416</v>
      </c>
      <c r="B34" s="17" t="s">
        <v>417</v>
      </c>
      <c r="C34" s="17" t="s">
        <v>405</v>
      </c>
      <c r="D34" s="17" t="s">
        <v>391</v>
      </c>
      <c r="E34" s="17" t="s">
        <v>388</v>
      </c>
      <c r="F34" s="17" t="s">
        <v>52</v>
      </c>
      <c r="G34" s="17" t="s">
        <v>392</v>
      </c>
      <c r="H34" s="17" t="s">
        <v>418</v>
      </c>
      <c r="I34" s="17" t="s">
        <v>419</v>
      </c>
      <c r="J34" s="17" t="s">
        <v>420</v>
      </c>
      <c r="K34" s="17" t="s">
        <v>421</v>
      </c>
      <c r="L34" s="17" t="s">
        <v>422</v>
      </c>
      <c r="M34" s="17" t="s">
        <v>51</v>
      </c>
      <c r="N34" s="17" t="s">
        <v>423</v>
      </c>
      <c r="O34" s="17" t="s">
        <v>424</v>
      </c>
      <c r="P34" s="17" t="s">
        <v>425</v>
      </c>
      <c r="Q34" s="17" t="s">
        <v>124</v>
      </c>
      <c r="R34" s="17" t="s">
        <v>426</v>
      </c>
      <c r="S34" s="17" t="s">
        <v>427</v>
      </c>
      <c r="T34" s="18" t="n">
        <f aca="false">COUNTIF(Responsibilities!$B:$B,A34)</f>
        <v>3</v>
      </c>
    </row>
    <row r="35" customFormat="false" ht="32.8" hidden="false" customHeight="false" outlineLevel="0" collapsed="false">
      <c r="A35" s="16" t="s">
        <v>428</v>
      </c>
      <c r="B35" s="17" t="s">
        <v>429</v>
      </c>
      <c r="C35" s="17" t="s">
        <v>405</v>
      </c>
      <c r="D35" s="17" t="s">
        <v>391</v>
      </c>
      <c r="E35" s="17" t="s">
        <v>388</v>
      </c>
      <c r="F35" s="17" t="s">
        <v>52</v>
      </c>
      <c r="G35" s="17" t="s">
        <v>392</v>
      </c>
      <c r="H35" s="17" t="s">
        <v>430</v>
      </c>
      <c r="I35" s="17" t="s">
        <v>431</v>
      </c>
      <c r="J35" s="17" t="s">
        <v>432</v>
      </c>
      <c r="K35" s="17" t="s">
        <v>433</v>
      </c>
      <c r="L35" s="17" t="s">
        <v>434</v>
      </c>
      <c r="M35" s="17" t="s">
        <v>51</v>
      </c>
      <c r="N35" s="17" t="s">
        <v>435</v>
      </c>
      <c r="O35" s="17" t="s">
        <v>436</v>
      </c>
      <c r="P35" s="17" t="s">
        <v>437</v>
      </c>
      <c r="Q35" s="17" t="s">
        <v>124</v>
      </c>
      <c r="R35" s="17" t="s">
        <v>438</v>
      </c>
      <c r="S35" s="17" t="s">
        <v>439</v>
      </c>
      <c r="T35" s="18" t="n">
        <f aca="false">COUNTIF(Responsibilities!$B:$B,A35)</f>
        <v>12</v>
      </c>
    </row>
    <row r="36" customFormat="false" ht="22.35" hidden="false" customHeight="false" outlineLevel="0" collapsed="false">
      <c r="A36" s="16" t="s">
        <v>440</v>
      </c>
      <c r="B36" s="17" t="s">
        <v>441</v>
      </c>
      <c r="C36" s="17" t="s">
        <v>405</v>
      </c>
      <c r="D36" s="17" t="s">
        <v>391</v>
      </c>
      <c r="E36" s="17" t="s">
        <v>388</v>
      </c>
      <c r="F36" s="17" t="s">
        <v>52</v>
      </c>
      <c r="G36" s="17" t="s">
        <v>392</v>
      </c>
      <c r="H36" s="17" t="s">
        <v>442</v>
      </c>
      <c r="I36" s="17" t="s">
        <v>443</v>
      </c>
      <c r="J36" s="17" t="s">
        <v>444</v>
      </c>
      <c r="K36" s="17" t="s">
        <v>445</v>
      </c>
      <c r="L36" s="17" t="s">
        <v>446</v>
      </c>
      <c r="M36" s="17" t="s">
        <v>51</v>
      </c>
      <c r="N36" s="17" t="s">
        <v>447</v>
      </c>
      <c r="O36" s="17" t="s">
        <v>448</v>
      </c>
      <c r="P36" s="17" t="s">
        <v>449</v>
      </c>
      <c r="Q36" s="17" t="s">
        <v>124</v>
      </c>
      <c r="R36" s="17" t="s">
        <v>450</v>
      </c>
      <c r="S36" s="17" t="s">
        <v>451</v>
      </c>
      <c r="T36" s="18" t="n">
        <f aca="false">COUNTIF(Responsibilities!$B:$B,A36)</f>
        <v>11</v>
      </c>
    </row>
    <row r="37" customFormat="false" ht="32.8" hidden="false" customHeight="false" outlineLevel="0" collapsed="false">
      <c r="A37" s="16" t="s">
        <v>452</v>
      </c>
      <c r="B37" s="17" t="s">
        <v>453</v>
      </c>
      <c r="C37" s="17" t="s">
        <v>405</v>
      </c>
      <c r="D37" s="17" t="s">
        <v>391</v>
      </c>
      <c r="E37" s="17" t="s">
        <v>388</v>
      </c>
      <c r="F37" s="17" t="s">
        <v>52</v>
      </c>
      <c r="G37" s="17" t="s">
        <v>392</v>
      </c>
      <c r="H37" s="17" t="s">
        <v>454</v>
      </c>
      <c r="I37" s="17" t="s">
        <v>455</v>
      </c>
      <c r="J37" s="17" t="s">
        <v>456</v>
      </c>
      <c r="K37" s="17" t="s">
        <v>457</v>
      </c>
      <c r="L37" s="17" t="s">
        <v>458</v>
      </c>
      <c r="M37" s="17" t="s">
        <v>51</v>
      </c>
      <c r="N37" s="17" t="s">
        <v>459</v>
      </c>
      <c r="O37" s="17" t="s">
        <v>460</v>
      </c>
      <c r="P37" s="17" t="s">
        <v>461</v>
      </c>
      <c r="Q37" s="17" t="s">
        <v>124</v>
      </c>
      <c r="R37" s="17" t="s">
        <v>462</v>
      </c>
      <c r="S37" s="17" t="s">
        <v>463</v>
      </c>
      <c r="T37" s="18" t="n">
        <f aca="false">COUNTIF(Responsibilities!$B:$B,A37)</f>
        <v>10</v>
      </c>
    </row>
    <row r="38" customFormat="false" ht="22.35" hidden="false" customHeight="false" outlineLevel="0" collapsed="false">
      <c r="A38" s="16" t="s">
        <v>464</v>
      </c>
      <c r="B38" s="17" t="s">
        <v>465</v>
      </c>
      <c r="C38" s="17" t="s">
        <v>405</v>
      </c>
      <c r="D38" s="17" t="s">
        <v>391</v>
      </c>
      <c r="E38" s="17" t="s">
        <v>388</v>
      </c>
      <c r="F38" s="17" t="s">
        <v>52</v>
      </c>
      <c r="G38" s="17" t="s">
        <v>392</v>
      </c>
      <c r="H38" s="17" t="s">
        <v>466</v>
      </c>
      <c r="I38" s="17" t="s">
        <v>467</v>
      </c>
      <c r="J38" s="17" t="s">
        <v>468</v>
      </c>
      <c r="K38" s="17" t="s">
        <v>469</v>
      </c>
      <c r="L38" s="17" t="s">
        <v>470</v>
      </c>
      <c r="M38" s="17" t="s">
        <v>51</v>
      </c>
      <c r="N38" s="17" t="s">
        <v>471</v>
      </c>
      <c r="O38" s="17" t="s">
        <v>472</v>
      </c>
      <c r="P38" s="17" t="s">
        <v>473</v>
      </c>
      <c r="Q38" s="17" t="s">
        <v>124</v>
      </c>
      <c r="R38" s="17" t="s">
        <v>474</v>
      </c>
      <c r="S38" s="17" t="s">
        <v>475</v>
      </c>
      <c r="T38" s="18" t="n">
        <f aca="false">COUNTIF(Responsibilities!$B:$B,A38)</f>
        <v>11</v>
      </c>
    </row>
    <row r="39" customFormat="false" ht="32.8" hidden="false" customHeight="false" outlineLevel="0" collapsed="false">
      <c r="A39" s="13" t="s">
        <v>476</v>
      </c>
      <c r="B39" s="14" t="s">
        <v>477</v>
      </c>
      <c r="C39" s="14" t="s">
        <v>390</v>
      </c>
      <c r="D39" s="14" t="s">
        <v>478</v>
      </c>
      <c r="E39" s="14" t="s">
        <v>187</v>
      </c>
      <c r="F39" s="14" t="s">
        <v>479</v>
      </c>
      <c r="G39" s="14" t="s">
        <v>480</v>
      </c>
      <c r="H39" s="14" t="s">
        <v>481</v>
      </c>
      <c r="I39" s="14" t="s">
        <v>482</v>
      </c>
      <c r="J39" s="14" t="s">
        <v>395</v>
      </c>
      <c r="K39" s="14" t="s">
        <v>396</v>
      </c>
      <c r="L39" s="14" t="s">
        <v>397</v>
      </c>
      <c r="M39" s="14" t="s">
        <v>51</v>
      </c>
      <c r="N39" s="14" t="s">
        <v>483</v>
      </c>
      <c r="O39" s="14" t="s">
        <v>399</v>
      </c>
      <c r="P39" s="14" t="s">
        <v>400</v>
      </c>
      <c r="Q39" s="14" t="s">
        <v>124</v>
      </c>
      <c r="R39" s="14" t="s">
        <v>484</v>
      </c>
      <c r="S39" s="14" t="s">
        <v>402</v>
      </c>
      <c r="T39" s="15" t="n">
        <f aca="false">COUNTIF(Responsibilities!$B:$B,A39)</f>
        <v>4</v>
      </c>
    </row>
    <row r="40" customFormat="false" ht="22.35" hidden="false" customHeight="false" outlineLevel="0" collapsed="false">
      <c r="A40" s="16" t="s">
        <v>485</v>
      </c>
      <c r="B40" s="17" t="s">
        <v>486</v>
      </c>
      <c r="C40" s="17" t="s">
        <v>405</v>
      </c>
      <c r="D40" s="17" t="s">
        <v>478</v>
      </c>
      <c r="E40" s="17" t="s">
        <v>476</v>
      </c>
      <c r="F40" s="17" t="s">
        <v>479</v>
      </c>
      <c r="G40" s="17" t="s">
        <v>480</v>
      </c>
      <c r="H40" s="17" t="s">
        <v>487</v>
      </c>
      <c r="I40" s="17" t="s">
        <v>488</v>
      </c>
      <c r="J40" s="17" t="s">
        <v>489</v>
      </c>
      <c r="K40" s="17" t="s">
        <v>490</v>
      </c>
      <c r="L40" s="17" t="s">
        <v>491</v>
      </c>
      <c r="M40" s="17" t="s">
        <v>492</v>
      </c>
      <c r="N40" s="17" t="s">
        <v>493</v>
      </c>
      <c r="O40" s="17" t="s">
        <v>494</v>
      </c>
      <c r="P40" s="17" t="s">
        <v>495</v>
      </c>
      <c r="Q40" s="17" t="s">
        <v>124</v>
      </c>
      <c r="R40" s="17" t="s">
        <v>496</v>
      </c>
      <c r="S40" s="17" t="s">
        <v>497</v>
      </c>
      <c r="T40" s="18" t="n">
        <f aca="false">COUNTIF(Responsibilities!$B:$B,A40)</f>
        <v>2</v>
      </c>
    </row>
    <row r="41" customFormat="false" ht="22.35" hidden="false" customHeight="false" outlineLevel="0" collapsed="false">
      <c r="A41" s="16" t="s">
        <v>498</v>
      </c>
      <c r="B41" s="17" t="s">
        <v>499</v>
      </c>
      <c r="C41" s="17" t="s">
        <v>405</v>
      </c>
      <c r="D41" s="17" t="s">
        <v>478</v>
      </c>
      <c r="E41" s="17" t="s">
        <v>476</v>
      </c>
      <c r="F41" s="17" t="s">
        <v>479</v>
      </c>
      <c r="G41" s="17" t="s">
        <v>480</v>
      </c>
      <c r="H41" s="17" t="s">
        <v>500</v>
      </c>
      <c r="I41" s="17" t="s">
        <v>501</v>
      </c>
      <c r="J41" s="17" t="s">
        <v>502</v>
      </c>
      <c r="K41" s="17" t="s">
        <v>503</v>
      </c>
      <c r="L41" s="17" t="s">
        <v>504</v>
      </c>
      <c r="M41" s="17" t="s">
        <v>492</v>
      </c>
      <c r="N41" s="17" t="s">
        <v>505</v>
      </c>
      <c r="O41" s="17" t="s">
        <v>506</v>
      </c>
      <c r="P41" s="17" t="s">
        <v>507</v>
      </c>
      <c r="Q41" s="17" t="s">
        <v>124</v>
      </c>
      <c r="R41" s="17" t="s">
        <v>508</v>
      </c>
      <c r="S41" s="17" t="s">
        <v>509</v>
      </c>
      <c r="T41" s="18" t="n">
        <f aca="false">COUNTIF(Responsibilities!$B:$B,A41)</f>
        <v>2</v>
      </c>
    </row>
    <row r="42" customFormat="false" ht="32.8" hidden="false" customHeight="false" outlineLevel="0" collapsed="false">
      <c r="A42" s="16" t="s">
        <v>510</v>
      </c>
      <c r="B42" s="17" t="s">
        <v>511</v>
      </c>
      <c r="C42" s="17" t="s">
        <v>405</v>
      </c>
      <c r="D42" s="17" t="s">
        <v>478</v>
      </c>
      <c r="E42" s="17" t="s">
        <v>476</v>
      </c>
      <c r="F42" s="17" t="s">
        <v>479</v>
      </c>
      <c r="G42" s="17" t="s">
        <v>480</v>
      </c>
      <c r="H42" s="17" t="s">
        <v>512</v>
      </c>
      <c r="I42" s="17" t="s">
        <v>513</v>
      </c>
      <c r="J42" s="17" t="s">
        <v>514</v>
      </c>
      <c r="K42" s="17" t="s">
        <v>515</v>
      </c>
      <c r="L42" s="17" t="s">
        <v>516</v>
      </c>
      <c r="M42" s="17" t="s">
        <v>492</v>
      </c>
      <c r="N42" s="17" t="s">
        <v>517</v>
      </c>
      <c r="O42" s="17" t="s">
        <v>518</v>
      </c>
      <c r="P42" s="17" t="s">
        <v>519</v>
      </c>
      <c r="Q42" s="17" t="s">
        <v>76</v>
      </c>
      <c r="R42" s="17" t="s">
        <v>520</v>
      </c>
      <c r="S42" s="17" t="s">
        <v>521</v>
      </c>
      <c r="T42" s="18" t="n">
        <f aca="false">COUNTIF(Responsibilities!$B:$B,A42)</f>
        <v>7</v>
      </c>
    </row>
    <row r="43" customFormat="false" ht="22.35" hidden="false" customHeight="false" outlineLevel="0" collapsed="false">
      <c r="A43" s="16" t="s">
        <v>522</v>
      </c>
      <c r="B43" s="17" t="s">
        <v>523</v>
      </c>
      <c r="C43" s="17" t="s">
        <v>405</v>
      </c>
      <c r="D43" s="17" t="s">
        <v>478</v>
      </c>
      <c r="E43" s="17" t="s">
        <v>476</v>
      </c>
      <c r="F43" s="17" t="s">
        <v>479</v>
      </c>
      <c r="G43" s="17" t="s">
        <v>480</v>
      </c>
      <c r="H43" s="17" t="s">
        <v>524</v>
      </c>
      <c r="I43" s="17" t="s">
        <v>525</v>
      </c>
      <c r="J43" s="17" t="s">
        <v>526</v>
      </c>
      <c r="K43" s="17" t="s">
        <v>527</v>
      </c>
      <c r="L43" s="17" t="s">
        <v>528</v>
      </c>
      <c r="M43" s="17" t="s">
        <v>51</v>
      </c>
      <c r="N43" s="17" t="s">
        <v>529</v>
      </c>
      <c r="O43" s="17" t="s">
        <v>530</v>
      </c>
      <c r="P43" s="17" t="s">
        <v>531</v>
      </c>
      <c r="Q43" s="17" t="s">
        <v>124</v>
      </c>
      <c r="R43" s="17" t="s">
        <v>532</v>
      </c>
      <c r="S43" s="17" t="s">
        <v>533</v>
      </c>
      <c r="T43" s="18" t="n">
        <f aca="false">COUNTIF(Responsibilities!$B:$B,A43)</f>
        <v>2</v>
      </c>
    </row>
    <row r="44" customFormat="false" ht="22.35" hidden="false" customHeight="false" outlineLevel="0" collapsed="false">
      <c r="A44" s="16" t="s">
        <v>534</v>
      </c>
      <c r="B44" s="17" t="s">
        <v>535</v>
      </c>
      <c r="C44" s="17" t="s">
        <v>405</v>
      </c>
      <c r="D44" s="17" t="s">
        <v>478</v>
      </c>
      <c r="E44" s="17" t="s">
        <v>476</v>
      </c>
      <c r="F44" s="17" t="s">
        <v>479</v>
      </c>
      <c r="G44" s="17" t="s">
        <v>480</v>
      </c>
      <c r="H44" s="17" t="s">
        <v>536</v>
      </c>
      <c r="I44" s="17" t="s">
        <v>537</v>
      </c>
      <c r="J44" s="17" t="s">
        <v>538</v>
      </c>
      <c r="K44" s="17" t="s">
        <v>539</v>
      </c>
      <c r="L44" s="17" t="s">
        <v>540</v>
      </c>
      <c r="M44" s="17" t="s">
        <v>51</v>
      </c>
      <c r="N44" s="17" t="s">
        <v>541</v>
      </c>
      <c r="O44" s="17" t="s">
        <v>51</v>
      </c>
      <c r="P44" s="17" t="s">
        <v>542</v>
      </c>
      <c r="Q44" s="17" t="s">
        <v>76</v>
      </c>
      <c r="R44" s="17" t="s">
        <v>543</v>
      </c>
      <c r="S44" s="17" t="s">
        <v>544</v>
      </c>
      <c r="T44" s="18" t="n">
        <f aca="false">COUNTIF(Responsibilities!$B:$B,A44)</f>
        <v>2</v>
      </c>
    </row>
    <row r="45" customFormat="false" ht="32.8" hidden="false" customHeight="false" outlineLevel="0" collapsed="false">
      <c r="A45" s="16" t="s">
        <v>545</v>
      </c>
      <c r="B45" s="17" t="s">
        <v>546</v>
      </c>
      <c r="C45" s="17" t="s">
        <v>405</v>
      </c>
      <c r="D45" s="17" t="s">
        <v>478</v>
      </c>
      <c r="E45" s="17" t="s">
        <v>476</v>
      </c>
      <c r="F45" s="17" t="s">
        <v>479</v>
      </c>
      <c r="G45" s="17" t="s">
        <v>480</v>
      </c>
      <c r="H45" s="17" t="s">
        <v>547</v>
      </c>
      <c r="I45" s="17" t="s">
        <v>548</v>
      </c>
      <c r="J45" s="17" t="s">
        <v>549</v>
      </c>
      <c r="K45" s="17" t="s">
        <v>550</v>
      </c>
      <c r="L45" s="17" t="s">
        <v>551</v>
      </c>
      <c r="M45" s="17" t="s">
        <v>51</v>
      </c>
      <c r="N45" s="17" t="s">
        <v>552</v>
      </c>
      <c r="O45" s="17" t="s">
        <v>553</v>
      </c>
      <c r="P45" s="17" t="s">
        <v>554</v>
      </c>
      <c r="Q45" s="17" t="s">
        <v>146</v>
      </c>
      <c r="R45" s="17" t="s">
        <v>555</v>
      </c>
      <c r="S45" s="17" t="s">
        <v>556</v>
      </c>
      <c r="T45" s="18" t="n">
        <f aca="false">COUNTIF(Responsibilities!$B:$B,A45)</f>
        <v>18</v>
      </c>
    </row>
    <row r="46" customFormat="false" ht="32.8" hidden="false" customHeight="false" outlineLevel="0" collapsed="false">
      <c r="A46" s="13" t="s">
        <v>557</v>
      </c>
      <c r="B46" s="14" t="s">
        <v>558</v>
      </c>
      <c r="C46" s="14" t="s">
        <v>390</v>
      </c>
      <c r="D46" s="14" t="s">
        <v>559</v>
      </c>
      <c r="E46" s="14" t="s">
        <v>187</v>
      </c>
      <c r="F46" s="14" t="s">
        <v>479</v>
      </c>
      <c r="G46" s="14" t="s">
        <v>560</v>
      </c>
      <c r="H46" s="14" t="s">
        <v>561</v>
      </c>
      <c r="I46" s="14" t="s">
        <v>562</v>
      </c>
      <c r="J46" s="14" t="s">
        <v>395</v>
      </c>
      <c r="K46" s="14" t="s">
        <v>396</v>
      </c>
      <c r="L46" s="14" t="s">
        <v>397</v>
      </c>
      <c r="M46" s="14" t="s">
        <v>51</v>
      </c>
      <c r="N46" s="14" t="s">
        <v>563</v>
      </c>
      <c r="O46" s="14" t="s">
        <v>399</v>
      </c>
      <c r="P46" s="14" t="s">
        <v>400</v>
      </c>
      <c r="Q46" s="14" t="s">
        <v>124</v>
      </c>
      <c r="R46" s="14" t="s">
        <v>564</v>
      </c>
      <c r="S46" s="14" t="s">
        <v>402</v>
      </c>
      <c r="T46" s="15" t="n">
        <f aca="false">COUNTIF(Responsibilities!$B:$B,A46)</f>
        <v>6</v>
      </c>
    </row>
    <row r="47" customFormat="false" ht="22.35" hidden="false" customHeight="false" outlineLevel="0" collapsed="false">
      <c r="A47" s="16" t="s">
        <v>565</v>
      </c>
      <c r="B47" s="17" t="s">
        <v>566</v>
      </c>
      <c r="C47" s="17" t="s">
        <v>405</v>
      </c>
      <c r="D47" s="17" t="s">
        <v>559</v>
      </c>
      <c r="E47" s="17" t="s">
        <v>557</v>
      </c>
      <c r="F47" s="17" t="s">
        <v>479</v>
      </c>
      <c r="G47" s="17" t="s">
        <v>560</v>
      </c>
      <c r="H47" s="17" t="s">
        <v>567</v>
      </c>
      <c r="I47" s="17" t="s">
        <v>568</v>
      </c>
      <c r="J47" s="17" t="s">
        <v>569</v>
      </c>
      <c r="K47" s="17" t="s">
        <v>570</v>
      </c>
      <c r="L47" s="17" t="s">
        <v>571</v>
      </c>
      <c r="M47" s="17" t="s">
        <v>572</v>
      </c>
      <c r="N47" s="17" t="s">
        <v>573</v>
      </c>
      <c r="O47" s="17" t="s">
        <v>51</v>
      </c>
      <c r="P47" s="17" t="s">
        <v>574</v>
      </c>
      <c r="Q47" s="17" t="s">
        <v>76</v>
      </c>
      <c r="R47" s="17" t="s">
        <v>520</v>
      </c>
      <c r="S47" s="17" t="s">
        <v>575</v>
      </c>
      <c r="T47" s="18" t="n">
        <f aca="false">COUNTIF(Responsibilities!$B:$B,A47)</f>
        <v>4</v>
      </c>
    </row>
    <row r="48" customFormat="false" ht="22.35" hidden="false" customHeight="false" outlineLevel="0" collapsed="false">
      <c r="A48" s="16" t="s">
        <v>571</v>
      </c>
      <c r="B48" s="17" t="s">
        <v>576</v>
      </c>
      <c r="C48" s="17" t="s">
        <v>405</v>
      </c>
      <c r="D48" s="17" t="s">
        <v>559</v>
      </c>
      <c r="E48" s="17" t="s">
        <v>557</v>
      </c>
      <c r="F48" s="17" t="s">
        <v>479</v>
      </c>
      <c r="G48" s="17" t="s">
        <v>560</v>
      </c>
      <c r="H48" s="17" t="s">
        <v>577</v>
      </c>
      <c r="I48" s="17" t="s">
        <v>578</v>
      </c>
      <c r="J48" s="17" t="s">
        <v>579</v>
      </c>
      <c r="K48" s="17" t="s">
        <v>580</v>
      </c>
      <c r="L48" s="17" t="s">
        <v>581</v>
      </c>
      <c r="M48" s="17" t="s">
        <v>582</v>
      </c>
      <c r="N48" s="17" t="s">
        <v>583</v>
      </c>
      <c r="O48" s="17" t="s">
        <v>584</v>
      </c>
      <c r="P48" s="17" t="s">
        <v>585</v>
      </c>
      <c r="Q48" s="17" t="s">
        <v>76</v>
      </c>
      <c r="R48" s="17" t="s">
        <v>520</v>
      </c>
      <c r="S48" s="17" t="s">
        <v>586</v>
      </c>
      <c r="T48" s="18" t="n">
        <f aca="false">COUNTIF(Responsibilities!$B:$B,A48)</f>
        <v>3</v>
      </c>
    </row>
    <row r="49" customFormat="false" ht="32.8" hidden="false" customHeight="false" outlineLevel="0" collapsed="false">
      <c r="A49" s="16" t="s">
        <v>587</v>
      </c>
      <c r="B49" s="17" t="s">
        <v>588</v>
      </c>
      <c r="C49" s="17" t="s">
        <v>405</v>
      </c>
      <c r="D49" s="17" t="s">
        <v>559</v>
      </c>
      <c r="E49" s="17" t="s">
        <v>557</v>
      </c>
      <c r="F49" s="17" t="s">
        <v>479</v>
      </c>
      <c r="G49" s="17" t="s">
        <v>560</v>
      </c>
      <c r="H49" s="17" t="s">
        <v>589</v>
      </c>
      <c r="I49" s="17" t="s">
        <v>590</v>
      </c>
      <c r="J49" s="17" t="s">
        <v>591</v>
      </c>
      <c r="K49" s="17" t="s">
        <v>592</v>
      </c>
      <c r="L49" s="17" t="s">
        <v>593</v>
      </c>
      <c r="M49" s="17" t="s">
        <v>492</v>
      </c>
      <c r="N49" s="17" t="s">
        <v>594</v>
      </c>
      <c r="O49" s="17" t="s">
        <v>51</v>
      </c>
      <c r="P49" s="17" t="s">
        <v>595</v>
      </c>
      <c r="Q49" s="17" t="s">
        <v>76</v>
      </c>
      <c r="R49" s="17" t="s">
        <v>596</v>
      </c>
      <c r="S49" s="17" t="s">
        <v>597</v>
      </c>
      <c r="T49" s="18" t="n">
        <f aca="false">COUNTIF(Responsibilities!$B:$B,A49)</f>
        <v>3</v>
      </c>
    </row>
    <row r="50" customFormat="false" ht="22.35" hidden="false" customHeight="false" outlineLevel="0" collapsed="false">
      <c r="A50" s="16" t="s">
        <v>581</v>
      </c>
      <c r="B50" s="17" t="s">
        <v>598</v>
      </c>
      <c r="C50" s="17" t="s">
        <v>405</v>
      </c>
      <c r="D50" s="17" t="s">
        <v>559</v>
      </c>
      <c r="E50" s="17" t="s">
        <v>557</v>
      </c>
      <c r="F50" s="17" t="s">
        <v>479</v>
      </c>
      <c r="G50" s="17" t="s">
        <v>560</v>
      </c>
      <c r="H50" s="17" t="s">
        <v>599</v>
      </c>
      <c r="I50" s="17" t="s">
        <v>600</v>
      </c>
      <c r="J50" s="17" t="s">
        <v>601</v>
      </c>
      <c r="K50" s="17" t="s">
        <v>602</v>
      </c>
      <c r="L50" s="17" t="s">
        <v>603</v>
      </c>
      <c r="M50" s="17" t="s">
        <v>582</v>
      </c>
      <c r="N50" s="17" t="s">
        <v>604</v>
      </c>
      <c r="O50" s="17" t="s">
        <v>51</v>
      </c>
      <c r="P50" s="17" t="s">
        <v>605</v>
      </c>
      <c r="Q50" s="17" t="s">
        <v>76</v>
      </c>
      <c r="R50" s="17" t="s">
        <v>596</v>
      </c>
      <c r="S50" s="17" t="s">
        <v>606</v>
      </c>
      <c r="T50" s="18" t="n">
        <f aca="false">COUNTIF(Responsibilities!$B:$B,A50)</f>
        <v>3</v>
      </c>
    </row>
    <row r="51" customFormat="false" ht="43.25" hidden="false" customHeight="false" outlineLevel="0" collapsed="false">
      <c r="A51" s="16" t="s">
        <v>603</v>
      </c>
      <c r="B51" s="17" t="s">
        <v>607</v>
      </c>
      <c r="C51" s="17" t="s">
        <v>405</v>
      </c>
      <c r="D51" s="17" t="s">
        <v>559</v>
      </c>
      <c r="E51" s="17" t="s">
        <v>557</v>
      </c>
      <c r="F51" s="17" t="s">
        <v>479</v>
      </c>
      <c r="G51" s="17" t="s">
        <v>560</v>
      </c>
      <c r="H51" s="17" t="s">
        <v>608</v>
      </c>
      <c r="I51" s="17" t="s">
        <v>609</v>
      </c>
      <c r="J51" s="17" t="s">
        <v>610</v>
      </c>
      <c r="K51" s="17" t="s">
        <v>611</v>
      </c>
      <c r="L51" s="17" t="s">
        <v>612</v>
      </c>
      <c r="M51" s="17" t="s">
        <v>492</v>
      </c>
      <c r="N51" s="17" t="s">
        <v>613</v>
      </c>
      <c r="O51" s="17" t="s">
        <v>614</v>
      </c>
      <c r="P51" s="17" t="s">
        <v>615</v>
      </c>
      <c r="Q51" s="17" t="s">
        <v>146</v>
      </c>
      <c r="R51" s="17" t="s">
        <v>616</v>
      </c>
      <c r="S51" s="17" t="s">
        <v>617</v>
      </c>
      <c r="T51" s="18" t="n">
        <f aca="false">COUNTIF(Responsibilities!$B:$B,A51)</f>
        <v>17</v>
      </c>
    </row>
    <row r="52" customFormat="false" ht="32.8" hidden="false" customHeight="false" outlineLevel="0" collapsed="false">
      <c r="A52" s="16" t="s">
        <v>618</v>
      </c>
      <c r="B52" s="17" t="s">
        <v>619</v>
      </c>
      <c r="C52" s="17" t="s">
        <v>405</v>
      </c>
      <c r="D52" s="17" t="s">
        <v>559</v>
      </c>
      <c r="E52" s="17" t="s">
        <v>557</v>
      </c>
      <c r="F52" s="17" t="s">
        <v>479</v>
      </c>
      <c r="G52" s="17" t="s">
        <v>560</v>
      </c>
      <c r="H52" s="17" t="s">
        <v>620</v>
      </c>
      <c r="I52" s="17" t="s">
        <v>621</v>
      </c>
      <c r="J52" s="17" t="s">
        <v>622</v>
      </c>
      <c r="K52" s="17" t="s">
        <v>623</v>
      </c>
      <c r="L52" s="17" t="s">
        <v>624</v>
      </c>
      <c r="M52" s="17" t="s">
        <v>492</v>
      </c>
      <c r="N52" s="17" t="s">
        <v>625</v>
      </c>
      <c r="O52" s="17" t="s">
        <v>626</v>
      </c>
      <c r="P52" s="17" t="s">
        <v>627</v>
      </c>
      <c r="Q52" s="17" t="s">
        <v>146</v>
      </c>
      <c r="R52" s="17" t="s">
        <v>628</v>
      </c>
      <c r="S52" s="17" t="s">
        <v>629</v>
      </c>
      <c r="T52" s="18" t="n">
        <f aca="false">COUNTIF(Responsibilities!$B:$B,A52)</f>
        <v>7</v>
      </c>
    </row>
    <row r="53" customFormat="false" ht="32.8" hidden="false" customHeight="false" outlineLevel="0" collapsed="false">
      <c r="A53" s="16" t="s">
        <v>630</v>
      </c>
      <c r="B53" s="17" t="s">
        <v>631</v>
      </c>
      <c r="C53" s="17" t="s">
        <v>405</v>
      </c>
      <c r="D53" s="17" t="s">
        <v>559</v>
      </c>
      <c r="E53" s="17" t="s">
        <v>557</v>
      </c>
      <c r="F53" s="17" t="s">
        <v>479</v>
      </c>
      <c r="G53" s="17" t="s">
        <v>560</v>
      </c>
      <c r="H53" s="17" t="s">
        <v>632</v>
      </c>
      <c r="I53" s="17" t="s">
        <v>633</v>
      </c>
      <c r="J53" s="17" t="s">
        <v>634</v>
      </c>
      <c r="K53" s="17" t="s">
        <v>635</v>
      </c>
      <c r="L53" s="17" t="s">
        <v>636</v>
      </c>
      <c r="M53" s="17" t="s">
        <v>51</v>
      </c>
      <c r="N53" s="17" t="s">
        <v>637</v>
      </c>
      <c r="O53" s="17" t="s">
        <v>638</v>
      </c>
      <c r="P53" s="17" t="s">
        <v>639</v>
      </c>
      <c r="Q53" s="17" t="s">
        <v>124</v>
      </c>
      <c r="R53" s="17" t="s">
        <v>640</v>
      </c>
      <c r="S53" s="17" t="s">
        <v>641</v>
      </c>
      <c r="T53" s="18" t="n">
        <f aca="false">COUNTIF(Responsibilities!$B:$B,A53)</f>
        <v>7</v>
      </c>
    </row>
    <row r="54" customFormat="false" ht="22.35" hidden="false" customHeight="false" outlineLevel="0" collapsed="false">
      <c r="A54" s="16" t="s">
        <v>642</v>
      </c>
      <c r="B54" s="17" t="s">
        <v>643</v>
      </c>
      <c r="C54" s="17" t="s">
        <v>405</v>
      </c>
      <c r="D54" s="17" t="s">
        <v>559</v>
      </c>
      <c r="E54" s="17" t="s">
        <v>557</v>
      </c>
      <c r="F54" s="17" t="s">
        <v>479</v>
      </c>
      <c r="G54" s="17" t="s">
        <v>560</v>
      </c>
      <c r="H54" s="17" t="s">
        <v>644</v>
      </c>
      <c r="I54" s="17" t="s">
        <v>645</v>
      </c>
      <c r="J54" s="17" t="s">
        <v>646</v>
      </c>
      <c r="K54" s="17" t="s">
        <v>647</v>
      </c>
      <c r="L54" s="17" t="s">
        <v>648</v>
      </c>
      <c r="M54" s="17" t="s">
        <v>492</v>
      </c>
      <c r="N54" s="17" t="s">
        <v>649</v>
      </c>
      <c r="O54" s="17" t="s">
        <v>650</v>
      </c>
      <c r="P54" s="17" t="s">
        <v>651</v>
      </c>
      <c r="Q54" s="17" t="s">
        <v>124</v>
      </c>
      <c r="R54" s="17" t="s">
        <v>520</v>
      </c>
      <c r="S54" s="17" t="s">
        <v>652</v>
      </c>
      <c r="T54" s="18" t="n">
        <f aca="false">COUNTIF(Responsibilities!$B:$B,A54)</f>
        <v>4</v>
      </c>
    </row>
    <row r="55" customFormat="false" ht="22.35" hidden="false" customHeight="false" outlineLevel="0" collapsed="false">
      <c r="A55" s="16" t="s">
        <v>653</v>
      </c>
      <c r="B55" s="17" t="s">
        <v>654</v>
      </c>
      <c r="C55" s="17" t="s">
        <v>405</v>
      </c>
      <c r="D55" s="17" t="s">
        <v>559</v>
      </c>
      <c r="E55" s="17" t="s">
        <v>557</v>
      </c>
      <c r="F55" s="17" t="s">
        <v>479</v>
      </c>
      <c r="G55" s="17" t="s">
        <v>560</v>
      </c>
      <c r="H55" s="17" t="s">
        <v>655</v>
      </c>
      <c r="I55" s="17" t="s">
        <v>656</v>
      </c>
      <c r="J55" s="17" t="s">
        <v>657</v>
      </c>
      <c r="K55" s="17" t="s">
        <v>658</v>
      </c>
      <c r="L55" s="17" t="s">
        <v>659</v>
      </c>
      <c r="M55" s="17" t="s">
        <v>492</v>
      </c>
      <c r="N55" s="17" t="s">
        <v>660</v>
      </c>
      <c r="O55" s="17" t="s">
        <v>51</v>
      </c>
      <c r="P55" s="17" t="s">
        <v>661</v>
      </c>
      <c r="Q55" s="17" t="s">
        <v>76</v>
      </c>
      <c r="R55" s="17" t="s">
        <v>520</v>
      </c>
      <c r="S55" s="17" t="s">
        <v>662</v>
      </c>
      <c r="T55" s="18" t="n">
        <f aca="false">COUNTIF(Responsibilities!$B:$B,A55)</f>
        <v>2</v>
      </c>
    </row>
    <row r="56" customFormat="false" ht="32.8" hidden="false" customHeight="false" outlineLevel="0" collapsed="false">
      <c r="A56" s="16" t="s">
        <v>663</v>
      </c>
      <c r="B56" s="17" t="s">
        <v>664</v>
      </c>
      <c r="C56" s="17" t="s">
        <v>405</v>
      </c>
      <c r="D56" s="17" t="s">
        <v>559</v>
      </c>
      <c r="E56" s="17" t="s">
        <v>557</v>
      </c>
      <c r="F56" s="17" t="s">
        <v>479</v>
      </c>
      <c r="G56" s="17" t="s">
        <v>560</v>
      </c>
      <c r="H56" s="17" t="s">
        <v>665</v>
      </c>
      <c r="I56" s="17" t="s">
        <v>666</v>
      </c>
      <c r="J56" s="17" t="s">
        <v>667</v>
      </c>
      <c r="K56" s="17" t="s">
        <v>668</v>
      </c>
      <c r="L56" s="17" t="s">
        <v>669</v>
      </c>
      <c r="M56" s="17" t="s">
        <v>51</v>
      </c>
      <c r="N56" s="17" t="s">
        <v>670</v>
      </c>
      <c r="O56" s="17" t="s">
        <v>671</v>
      </c>
      <c r="P56" s="17" t="s">
        <v>672</v>
      </c>
      <c r="Q56" s="17" t="s">
        <v>146</v>
      </c>
      <c r="R56" s="17" t="s">
        <v>673</v>
      </c>
      <c r="S56" s="17" t="s">
        <v>674</v>
      </c>
      <c r="T56" s="18" t="n">
        <f aca="false">COUNTIF(Responsibilities!$B:$B,A56)</f>
        <v>19</v>
      </c>
    </row>
    <row r="57" customFormat="false" ht="22.35" hidden="false" customHeight="false" outlineLevel="0" collapsed="false">
      <c r="A57" s="16" t="s">
        <v>675</v>
      </c>
      <c r="B57" s="17" t="s">
        <v>676</v>
      </c>
      <c r="C57" s="17" t="s">
        <v>405</v>
      </c>
      <c r="D57" s="17" t="s">
        <v>559</v>
      </c>
      <c r="E57" s="17" t="s">
        <v>557</v>
      </c>
      <c r="F57" s="17" t="s">
        <v>479</v>
      </c>
      <c r="G57" s="17" t="s">
        <v>560</v>
      </c>
      <c r="H57" s="17" t="s">
        <v>677</v>
      </c>
      <c r="I57" s="17" t="s">
        <v>678</v>
      </c>
      <c r="J57" s="17" t="s">
        <v>679</v>
      </c>
      <c r="K57" s="17" t="s">
        <v>680</v>
      </c>
      <c r="L57" s="17" t="s">
        <v>681</v>
      </c>
      <c r="M57" s="17" t="s">
        <v>492</v>
      </c>
      <c r="N57" s="17" t="s">
        <v>682</v>
      </c>
      <c r="O57" s="17" t="s">
        <v>51</v>
      </c>
      <c r="P57" s="17" t="s">
        <v>683</v>
      </c>
      <c r="Q57" s="17" t="s">
        <v>76</v>
      </c>
      <c r="R57" s="17" t="s">
        <v>684</v>
      </c>
      <c r="S57" s="17" t="s">
        <v>685</v>
      </c>
      <c r="T57" s="18" t="n">
        <f aca="false">COUNTIF(Responsibilities!$B:$B,A57)</f>
        <v>3</v>
      </c>
    </row>
    <row r="58" customFormat="false" ht="22.35" hidden="false" customHeight="false" outlineLevel="0" collapsed="false">
      <c r="A58" s="16" t="s">
        <v>686</v>
      </c>
      <c r="B58" s="17" t="s">
        <v>687</v>
      </c>
      <c r="C58" s="17" t="s">
        <v>405</v>
      </c>
      <c r="D58" s="17" t="s">
        <v>559</v>
      </c>
      <c r="E58" s="17" t="s">
        <v>557</v>
      </c>
      <c r="F58" s="17" t="s">
        <v>479</v>
      </c>
      <c r="G58" s="17" t="s">
        <v>560</v>
      </c>
      <c r="H58" s="17" t="s">
        <v>688</v>
      </c>
      <c r="I58" s="17" t="s">
        <v>689</v>
      </c>
      <c r="J58" s="17" t="s">
        <v>690</v>
      </c>
      <c r="K58" s="17" t="s">
        <v>691</v>
      </c>
      <c r="L58" s="17" t="s">
        <v>692</v>
      </c>
      <c r="M58" s="17" t="s">
        <v>492</v>
      </c>
      <c r="N58" s="17" t="s">
        <v>693</v>
      </c>
      <c r="O58" s="17" t="s">
        <v>51</v>
      </c>
      <c r="P58" s="17" t="s">
        <v>694</v>
      </c>
      <c r="Q58" s="17" t="s">
        <v>76</v>
      </c>
      <c r="R58" s="17" t="s">
        <v>684</v>
      </c>
      <c r="S58" s="17" t="s">
        <v>695</v>
      </c>
      <c r="T58" s="18" t="n">
        <f aca="false">COUNTIF(Responsibilities!$B:$B,A58)</f>
        <v>2</v>
      </c>
    </row>
    <row r="59" customFormat="false" ht="32.8" hidden="false" customHeight="false" outlineLevel="0" collapsed="false">
      <c r="A59" s="13" t="s">
        <v>696</v>
      </c>
      <c r="B59" s="14" t="s">
        <v>697</v>
      </c>
      <c r="C59" s="14" t="s">
        <v>390</v>
      </c>
      <c r="D59" s="14" t="s">
        <v>698</v>
      </c>
      <c r="E59" s="14" t="s">
        <v>187</v>
      </c>
      <c r="F59" s="14" t="s">
        <v>699</v>
      </c>
      <c r="G59" s="14" t="s">
        <v>700</v>
      </c>
      <c r="H59" s="14" t="s">
        <v>701</v>
      </c>
      <c r="I59" s="14" t="s">
        <v>702</v>
      </c>
      <c r="J59" s="14" t="s">
        <v>395</v>
      </c>
      <c r="K59" s="14" t="s">
        <v>396</v>
      </c>
      <c r="L59" s="14" t="s">
        <v>397</v>
      </c>
      <c r="M59" s="14" t="s">
        <v>51</v>
      </c>
      <c r="N59" s="14" t="s">
        <v>703</v>
      </c>
      <c r="O59" s="14" t="s">
        <v>399</v>
      </c>
      <c r="P59" s="14" t="s">
        <v>400</v>
      </c>
      <c r="Q59" s="14" t="s">
        <v>124</v>
      </c>
      <c r="R59" s="14" t="s">
        <v>704</v>
      </c>
      <c r="S59" s="14" t="s">
        <v>402</v>
      </c>
      <c r="T59" s="15" t="n">
        <f aca="false">COUNTIF(Responsibilities!$B:$B,A59)</f>
        <v>2</v>
      </c>
    </row>
    <row r="60" customFormat="false" ht="22.35" hidden="false" customHeight="false" outlineLevel="0" collapsed="false">
      <c r="A60" s="16" t="s">
        <v>705</v>
      </c>
      <c r="B60" s="17" t="s">
        <v>706</v>
      </c>
      <c r="C60" s="17" t="s">
        <v>405</v>
      </c>
      <c r="D60" s="17" t="s">
        <v>698</v>
      </c>
      <c r="E60" s="17" t="s">
        <v>696</v>
      </c>
      <c r="F60" s="17" t="s">
        <v>699</v>
      </c>
      <c r="G60" s="17" t="s">
        <v>700</v>
      </c>
      <c r="H60" s="17" t="s">
        <v>707</v>
      </c>
      <c r="I60" s="17" t="s">
        <v>708</v>
      </c>
      <c r="J60" s="17" t="s">
        <v>709</v>
      </c>
      <c r="K60" s="17" t="s">
        <v>710</v>
      </c>
      <c r="L60" s="17" t="s">
        <v>711</v>
      </c>
      <c r="M60" s="17" t="s">
        <v>51</v>
      </c>
      <c r="N60" s="17" t="s">
        <v>712</v>
      </c>
      <c r="O60" s="17" t="s">
        <v>51</v>
      </c>
      <c r="P60" s="17" t="s">
        <v>713</v>
      </c>
      <c r="Q60" s="17" t="s">
        <v>76</v>
      </c>
      <c r="R60" s="17" t="s">
        <v>714</v>
      </c>
      <c r="S60" s="17" t="s">
        <v>715</v>
      </c>
      <c r="T60" s="18" t="n">
        <f aca="false">COUNTIF(Responsibilities!$B:$B,A60)</f>
        <v>3</v>
      </c>
    </row>
    <row r="61" customFormat="false" ht="22.35" hidden="false" customHeight="false" outlineLevel="0" collapsed="false">
      <c r="A61" s="16" t="s">
        <v>716</v>
      </c>
      <c r="B61" s="17" t="s">
        <v>717</v>
      </c>
      <c r="C61" s="17" t="s">
        <v>405</v>
      </c>
      <c r="D61" s="17" t="s">
        <v>698</v>
      </c>
      <c r="E61" s="17" t="s">
        <v>696</v>
      </c>
      <c r="F61" s="17" t="s">
        <v>699</v>
      </c>
      <c r="G61" s="17" t="s">
        <v>700</v>
      </c>
      <c r="H61" s="17" t="s">
        <v>718</v>
      </c>
      <c r="I61" s="17" t="s">
        <v>719</v>
      </c>
      <c r="J61" s="17" t="s">
        <v>720</v>
      </c>
      <c r="K61" s="17" t="s">
        <v>721</v>
      </c>
      <c r="L61" s="17" t="s">
        <v>722</v>
      </c>
      <c r="M61" s="17" t="s">
        <v>723</v>
      </c>
      <c r="N61" s="17" t="s">
        <v>724</v>
      </c>
      <c r="O61" s="17" t="s">
        <v>51</v>
      </c>
      <c r="P61" s="17" t="s">
        <v>725</v>
      </c>
      <c r="Q61" s="17" t="s">
        <v>76</v>
      </c>
      <c r="R61" s="17" t="s">
        <v>726</v>
      </c>
      <c r="S61" s="17" t="s">
        <v>727</v>
      </c>
      <c r="T61" s="18" t="n">
        <f aca="false">COUNTIF(Responsibilities!$B:$B,A61)</f>
        <v>3</v>
      </c>
    </row>
    <row r="62" customFormat="false" ht="43.25" hidden="false" customHeight="false" outlineLevel="0" collapsed="false">
      <c r="A62" s="16" t="s">
        <v>728</v>
      </c>
      <c r="B62" s="17" t="s">
        <v>729</v>
      </c>
      <c r="C62" s="17" t="s">
        <v>405</v>
      </c>
      <c r="D62" s="17" t="s">
        <v>698</v>
      </c>
      <c r="E62" s="17" t="s">
        <v>696</v>
      </c>
      <c r="F62" s="17" t="s">
        <v>699</v>
      </c>
      <c r="G62" s="17" t="s">
        <v>700</v>
      </c>
      <c r="H62" s="17" t="s">
        <v>730</v>
      </c>
      <c r="I62" s="17" t="s">
        <v>731</v>
      </c>
      <c r="J62" s="17" t="s">
        <v>732</v>
      </c>
      <c r="K62" s="17" t="s">
        <v>733</v>
      </c>
      <c r="L62" s="17" t="s">
        <v>734</v>
      </c>
      <c r="M62" s="17" t="s">
        <v>51</v>
      </c>
      <c r="N62" s="17" t="s">
        <v>735</v>
      </c>
      <c r="O62" s="17" t="s">
        <v>736</v>
      </c>
      <c r="P62" s="17" t="s">
        <v>737</v>
      </c>
      <c r="Q62" s="17" t="s">
        <v>124</v>
      </c>
      <c r="R62" s="17" t="s">
        <v>738</v>
      </c>
      <c r="S62" s="17" t="s">
        <v>739</v>
      </c>
      <c r="T62" s="18" t="n">
        <f aca="false">COUNTIF(Responsibilities!$B:$B,A62)</f>
        <v>12</v>
      </c>
    </row>
    <row r="63" customFormat="false" ht="32.8" hidden="false" customHeight="false" outlineLevel="0" collapsed="false">
      <c r="A63" s="16" t="s">
        <v>740</v>
      </c>
      <c r="B63" s="17" t="s">
        <v>741</v>
      </c>
      <c r="C63" s="17" t="s">
        <v>405</v>
      </c>
      <c r="D63" s="17" t="s">
        <v>698</v>
      </c>
      <c r="E63" s="17" t="s">
        <v>696</v>
      </c>
      <c r="F63" s="17" t="s">
        <v>699</v>
      </c>
      <c r="G63" s="17" t="s">
        <v>700</v>
      </c>
      <c r="H63" s="17" t="s">
        <v>742</v>
      </c>
      <c r="I63" s="17" t="s">
        <v>743</v>
      </c>
      <c r="J63" s="17" t="s">
        <v>744</v>
      </c>
      <c r="K63" s="17" t="s">
        <v>745</v>
      </c>
      <c r="L63" s="17" t="s">
        <v>746</v>
      </c>
      <c r="M63" s="17" t="s">
        <v>51</v>
      </c>
      <c r="N63" s="17" t="s">
        <v>747</v>
      </c>
      <c r="O63" s="17" t="s">
        <v>748</v>
      </c>
      <c r="P63" s="17" t="s">
        <v>749</v>
      </c>
      <c r="Q63" s="17" t="s">
        <v>124</v>
      </c>
      <c r="R63" s="17" t="s">
        <v>750</v>
      </c>
      <c r="S63" s="17" t="s">
        <v>751</v>
      </c>
      <c r="T63" s="18" t="n">
        <f aca="false">COUNTIF(Responsibilities!$B:$B,A63)</f>
        <v>9</v>
      </c>
    </row>
    <row r="64" customFormat="false" ht="22.35" hidden="false" customHeight="false" outlineLevel="0" collapsed="false">
      <c r="A64" s="16" t="s">
        <v>752</v>
      </c>
      <c r="B64" s="17" t="s">
        <v>753</v>
      </c>
      <c r="C64" s="17" t="s">
        <v>405</v>
      </c>
      <c r="D64" s="17" t="s">
        <v>698</v>
      </c>
      <c r="E64" s="17" t="s">
        <v>696</v>
      </c>
      <c r="F64" s="17" t="s">
        <v>699</v>
      </c>
      <c r="G64" s="17" t="s">
        <v>700</v>
      </c>
      <c r="H64" s="17" t="s">
        <v>754</v>
      </c>
      <c r="I64" s="17" t="s">
        <v>755</v>
      </c>
      <c r="J64" s="17" t="s">
        <v>756</v>
      </c>
      <c r="K64" s="17" t="s">
        <v>757</v>
      </c>
      <c r="L64" s="17" t="s">
        <v>758</v>
      </c>
      <c r="M64" s="17" t="s">
        <v>759</v>
      </c>
      <c r="N64" s="17" t="s">
        <v>760</v>
      </c>
      <c r="O64" s="17" t="s">
        <v>51</v>
      </c>
      <c r="P64" s="17" t="s">
        <v>761</v>
      </c>
      <c r="Q64" s="17" t="s">
        <v>76</v>
      </c>
      <c r="R64" s="17" t="s">
        <v>762</v>
      </c>
      <c r="S64" s="17" t="s">
        <v>763</v>
      </c>
      <c r="T64" s="18" t="n">
        <f aca="false">COUNTIF(Responsibilities!$B:$B,A64)</f>
        <v>3</v>
      </c>
    </row>
    <row r="65" customFormat="false" ht="43.25" hidden="false" customHeight="false" outlineLevel="0" collapsed="false">
      <c r="A65" s="13" t="s">
        <v>764</v>
      </c>
      <c r="B65" s="14" t="s">
        <v>765</v>
      </c>
      <c r="C65" s="14" t="s">
        <v>390</v>
      </c>
      <c r="D65" s="14" t="s">
        <v>766</v>
      </c>
      <c r="E65" s="14" t="s">
        <v>187</v>
      </c>
      <c r="F65" s="14" t="s">
        <v>767</v>
      </c>
      <c r="G65" s="14" t="s">
        <v>768</v>
      </c>
      <c r="H65" s="14" t="s">
        <v>769</v>
      </c>
      <c r="I65" s="14" t="s">
        <v>770</v>
      </c>
      <c r="J65" s="14" t="s">
        <v>395</v>
      </c>
      <c r="K65" s="14" t="s">
        <v>396</v>
      </c>
      <c r="L65" s="14" t="s">
        <v>397</v>
      </c>
      <c r="M65" s="14" t="s">
        <v>51</v>
      </c>
      <c r="N65" s="14" t="s">
        <v>771</v>
      </c>
      <c r="O65" s="14" t="s">
        <v>399</v>
      </c>
      <c r="P65" s="14" t="s">
        <v>400</v>
      </c>
      <c r="Q65" s="14" t="s">
        <v>124</v>
      </c>
      <c r="R65" s="14" t="s">
        <v>772</v>
      </c>
      <c r="S65" s="14" t="s">
        <v>402</v>
      </c>
      <c r="T65" s="15" t="n">
        <f aca="false">COUNTIF(Responsibilities!$B:$B,A65)</f>
        <v>2</v>
      </c>
    </row>
    <row r="66" customFormat="false" ht="32.8" hidden="false" customHeight="false" outlineLevel="0" collapsed="false">
      <c r="A66" s="16" t="s">
        <v>773</v>
      </c>
      <c r="B66" s="17" t="s">
        <v>774</v>
      </c>
      <c r="C66" s="17" t="s">
        <v>405</v>
      </c>
      <c r="D66" s="17" t="s">
        <v>766</v>
      </c>
      <c r="E66" s="17" t="s">
        <v>764</v>
      </c>
      <c r="F66" s="17" t="s">
        <v>767</v>
      </c>
      <c r="G66" s="17" t="s">
        <v>768</v>
      </c>
      <c r="H66" s="17" t="s">
        <v>775</v>
      </c>
      <c r="I66" s="17" t="s">
        <v>776</v>
      </c>
      <c r="J66" s="17" t="s">
        <v>777</v>
      </c>
      <c r="K66" s="17" t="s">
        <v>778</v>
      </c>
      <c r="L66" s="17" t="s">
        <v>779</v>
      </c>
      <c r="M66" s="17" t="s">
        <v>51</v>
      </c>
      <c r="N66" s="17" t="s">
        <v>780</v>
      </c>
      <c r="O66" s="17" t="s">
        <v>781</v>
      </c>
      <c r="P66" s="17" t="s">
        <v>782</v>
      </c>
      <c r="Q66" s="17" t="s">
        <v>124</v>
      </c>
      <c r="R66" s="17" t="s">
        <v>783</v>
      </c>
      <c r="S66" s="17" t="s">
        <v>784</v>
      </c>
      <c r="T66" s="18" t="n">
        <f aca="false">COUNTIF(Responsibilities!$B:$B,A66)</f>
        <v>12</v>
      </c>
    </row>
    <row r="67" customFormat="false" ht="22.35" hidden="false" customHeight="false" outlineLevel="0" collapsed="false">
      <c r="A67" s="16" t="s">
        <v>785</v>
      </c>
      <c r="B67" s="17" t="s">
        <v>786</v>
      </c>
      <c r="C67" s="17" t="s">
        <v>405</v>
      </c>
      <c r="D67" s="17" t="s">
        <v>766</v>
      </c>
      <c r="E67" s="17" t="s">
        <v>764</v>
      </c>
      <c r="F67" s="17" t="s">
        <v>767</v>
      </c>
      <c r="G67" s="17" t="s">
        <v>768</v>
      </c>
      <c r="H67" s="17" t="s">
        <v>787</v>
      </c>
      <c r="I67" s="17" t="s">
        <v>788</v>
      </c>
      <c r="J67" s="17" t="s">
        <v>789</v>
      </c>
      <c r="K67" s="17" t="s">
        <v>790</v>
      </c>
      <c r="L67" s="17" t="s">
        <v>791</v>
      </c>
      <c r="M67" s="17" t="s">
        <v>51</v>
      </c>
      <c r="N67" s="17" t="s">
        <v>792</v>
      </c>
      <c r="O67" s="17" t="s">
        <v>793</v>
      </c>
      <c r="P67" s="17" t="s">
        <v>794</v>
      </c>
      <c r="Q67" s="17" t="s">
        <v>124</v>
      </c>
      <c r="R67" s="17" t="s">
        <v>795</v>
      </c>
      <c r="S67" s="17" t="s">
        <v>796</v>
      </c>
      <c r="T67" s="18" t="n">
        <f aca="false">COUNTIF(Responsibilities!$B:$B,A67)</f>
        <v>2</v>
      </c>
    </row>
    <row r="68" customFormat="false" ht="22.35" hidden="false" customHeight="false" outlineLevel="0" collapsed="false">
      <c r="A68" s="16" t="s">
        <v>797</v>
      </c>
      <c r="B68" s="17" t="s">
        <v>798</v>
      </c>
      <c r="C68" s="17" t="s">
        <v>405</v>
      </c>
      <c r="D68" s="17" t="s">
        <v>766</v>
      </c>
      <c r="E68" s="17" t="s">
        <v>764</v>
      </c>
      <c r="F68" s="17" t="s">
        <v>767</v>
      </c>
      <c r="G68" s="17" t="s">
        <v>768</v>
      </c>
      <c r="H68" s="17" t="s">
        <v>799</v>
      </c>
      <c r="I68" s="17" t="s">
        <v>800</v>
      </c>
      <c r="J68" s="17" t="s">
        <v>801</v>
      </c>
      <c r="K68" s="17" t="s">
        <v>802</v>
      </c>
      <c r="L68" s="17" t="s">
        <v>791</v>
      </c>
      <c r="M68" s="17" t="s">
        <v>51</v>
      </c>
      <c r="N68" s="17" t="s">
        <v>803</v>
      </c>
      <c r="O68" s="17" t="s">
        <v>51</v>
      </c>
      <c r="P68" s="17" t="s">
        <v>804</v>
      </c>
      <c r="Q68" s="17" t="s">
        <v>76</v>
      </c>
      <c r="R68" s="17" t="s">
        <v>805</v>
      </c>
      <c r="S68" s="17" t="s">
        <v>806</v>
      </c>
      <c r="T68" s="18" t="n">
        <f aca="false">COUNTIF(Responsibilities!$B:$B,A68)</f>
        <v>11</v>
      </c>
    </row>
    <row r="69" customFormat="false" ht="22.35" hidden="false" customHeight="false" outlineLevel="0" collapsed="false">
      <c r="A69" s="16" t="s">
        <v>807</v>
      </c>
      <c r="B69" s="17" t="s">
        <v>808</v>
      </c>
      <c r="C69" s="17" t="s">
        <v>405</v>
      </c>
      <c r="D69" s="17" t="s">
        <v>766</v>
      </c>
      <c r="E69" s="17" t="s">
        <v>764</v>
      </c>
      <c r="F69" s="17" t="s">
        <v>767</v>
      </c>
      <c r="G69" s="17" t="s">
        <v>768</v>
      </c>
      <c r="H69" s="17" t="s">
        <v>809</v>
      </c>
      <c r="I69" s="17" t="s">
        <v>810</v>
      </c>
      <c r="J69" s="17" t="s">
        <v>811</v>
      </c>
      <c r="K69" s="17" t="s">
        <v>812</v>
      </c>
      <c r="L69" s="17" t="s">
        <v>813</v>
      </c>
      <c r="M69" s="17" t="s">
        <v>51</v>
      </c>
      <c r="N69" s="17" t="s">
        <v>814</v>
      </c>
      <c r="O69" s="17" t="s">
        <v>51</v>
      </c>
      <c r="P69" s="17" t="s">
        <v>815</v>
      </c>
      <c r="Q69" s="17" t="s">
        <v>76</v>
      </c>
      <c r="R69" s="17" t="s">
        <v>816</v>
      </c>
      <c r="S69" s="17" t="s">
        <v>796</v>
      </c>
      <c r="T69" s="18" t="n">
        <f aca="false">COUNTIF(Responsibilities!$B:$B,A69)</f>
        <v>2</v>
      </c>
    </row>
    <row r="70" customFormat="false" ht="15" hidden="false" customHeight="false" outlineLevel="0" collapsed="false">
      <c r="A70" s="16" t="s">
        <v>817</v>
      </c>
      <c r="B70" s="17" t="s">
        <v>818</v>
      </c>
      <c r="C70" s="17" t="s">
        <v>405</v>
      </c>
      <c r="D70" s="17" t="s">
        <v>766</v>
      </c>
      <c r="E70" s="17" t="s">
        <v>764</v>
      </c>
      <c r="F70" s="17" t="s">
        <v>767</v>
      </c>
      <c r="G70" s="17" t="s">
        <v>768</v>
      </c>
      <c r="H70" s="17" t="s">
        <v>819</v>
      </c>
      <c r="I70" s="17" t="s">
        <v>820</v>
      </c>
      <c r="J70" s="17" t="s">
        <v>821</v>
      </c>
      <c r="K70" s="17" t="s">
        <v>822</v>
      </c>
      <c r="L70" s="17" t="s">
        <v>823</v>
      </c>
      <c r="M70" s="17" t="s">
        <v>492</v>
      </c>
      <c r="N70" s="17" t="s">
        <v>824</v>
      </c>
      <c r="O70" s="17" t="s">
        <v>825</v>
      </c>
      <c r="P70" s="17" t="s">
        <v>826</v>
      </c>
      <c r="Q70" s="17" t="s">
        <v>124</v>
      </c>
      <c r="R70" s="17" t="s">
        <v>827</v>
      </c>
      <c r="S70" s="17" t="s">
        <v>796</v>
      </c>
      <c r="T70" s="18" t="n">
        <f aca="false">COUNTIF(Responsibilities!$B:$B,A70)</f>
        <v>2</v>
      </c>
    </row>
    <row r="71" customFormat="false" ht="22.35" hidden="false" customHeight="false" outlineLevel="0" collapsed="false">
      <c r="A71" s="16" t="s">
        <v>828</v>
      </c>
      <c r="B71" s="17" t="s">
        <v>829</v>
      </c>
      <c r="C71" s="17" t="s">
        <v>405</v>
      </c>
      <c r="D71" s="17" t="s">
        <v>766</v>
      </c>
      <c r="E71" s="17" t="s">
        <v>764</v>
      </c>
      <c r="F71" s="17" t="s">
        <v>767</v>
      </c>
      <c r="G71" s="17" t="s">
        <v>768</v>
      </c>
      <c r="H71" s="17" t="s">
        <v>830</v>
      </c>
      <c r="I71" s="17" t="s">
        <v>831</v>
      </c>
      <c r="J71" s="17" t="s">
        <v>832</v>
      </c>
      <c r="K71" s="17" t="s">
        <v>833</v>
      </c>
      <c r="L71" s="17" t="s">
        <v>834</v>
      </c>
      <c r="M71" s="17" t="s">
        <v>51</v>
      </c>
      <c r="N71" s="17" t="s">
        <v>835</v>
      </c>
      <c r="O71" s="17" t="s">
        <v>836</v>
      </c>
      <c r="P71" s="17" t="s">
        <v>837</v>
      </c>
      <c r="Q71" s="17" t="s">
        <v>124</v>
      </c>
      <c r="R71" s="17" t="s">
        <v>838</v>
      </c>
      <c r="S71" s="17" t="s">
        <v>839</v>
      </c>
      <c r="T71" s="18" t="n">
        <f aca="false">COUNTIF(Responsibilities!$B:$B,A71)</f>
        <v>2</v>
      </c>
    </row>
    <row r="72" customFormat="false" ht="22.35" hidden="false" customHeight="false" outlineLevel="0" collapsed="false">
      <c r="A72" s="16" t="s">
        <v>840</v>
      </c>
      <c r="B72" s="17" t="s">
        <v>841</v>
      </c>
      <c r="C72" s="17" t="s">
        <v>405</v>
      </c>
      <c r="D72" s="17" t="s">
        <v>766</v>
      </c>
      <c r="E72" s="17" t="s">
        <v>764</v>
      </c>
      <c r="F72" s="17" t="s">
        <v>767</v>
      </c>
      <c r="G72" s="17" t="s">
        <v>768</v>
      </c>
      <c r="H72" s="17" t="s">
        <v>842</v>
      </c>
      <c r="I72" s="17" t="s">
        <v>843</v>
      </c>
      <c r="J72" s="17" t="s">
        <v>844</v>
      </c>
      <c r="K72" s="17" t="s">
        <v>845</v>
      </c>
      <c r="L72" s="17" t="s">
        <v>807</v>
      </c>
      <c r="M72" s="17" t="s">
        <v>51</v>
      </c>
      <c r="N72" s="17" t="s">
        <v>846</v>
      </c>
      <c r="O72" s="17" t="s">
        <v>847</v>
      </c>
      <c r="P72" s="17" t="s">
        <v>848</v>
      </c>
      <c r="Q72" s="17" t="s">
        <v>124</v>
      </c>
      <c r="R72" s="17" t="s">
        <v>849</v>
      </c>
      <c r="S72" s="17" t="s">
        <v>850</v>
      </c>
      <c r="T72" s="18" t="n">
        <f aca="false">COUNTIF(Responsibilities!$B:$B,A72)</f>
        <v>1</v>
      </c>
    </row>
    <row r="73" customFormat="false" ht="32.8" hidden="false" customHeight="false" outlineLevel="0" collapsed="false">
      <c r="A73" s="13" t="s">
        <v>851</v>
      </c>
      <c r="B73" s="14" t="s">
        <v>852</v>
      </c>
      <c r="C73" s="14" t="s">
        <v>390</v>
      </c>
      <c r="D73" s="14" t="s">
        <v>853</v>
      </c>
      <c r="E73" s="14" t="s">
        <v>187</v>
      </c>
      <c r="F73" s="14" t="s">
        <v>154</v>
      </c>
      <c r="G73" s="14" t="s">
        <v>854</v>
      </c>
      <c r="H73" s="14" t="s">
        <v>855</v>
      </c>
      <c r="I73" s="14" t="s">
        <v>856</v>
      </c>
      <c r="J73" s="14" t="s">
        <v>395</v>
      </c>
      <c r="K73" s="14" t="s">
        <v>396</v>
      </c>
      <c r="L73" s="14" t="s">
        <v>397</v>
      </c>
      <c r="M73" s="14" t="s">
        <v>51</v>
      </c>
      <c r="N73" s="14" t="s">
        <v>857</v>
      </c>
      <c r="O73" s="14" t="s">
        <v>399</v>
      </c>
      <c r="P73" s="14" t="s">
        <v>400</v>
      </c>
      <c r="Q73" s="14" t="s">
        <v>124</v>
      </c>
      <c r="R73" s="14" t="s">
        <v>858</v>
      </c>
      <c r="S73" s="14" t="s">
        <v>402</v>
      </c>
      <c r="T73" s="15" t="n">
        <f aca="false">COUNTIF(Responsibilities!$B:$B,A73)</f>
        <v>2</v>
      </c>
    </row>
    <row r="74" customFormat="false" ht="32.8" hidden="false" customHeight="false" outlineLevel="0" collapsed="false">
      <c r="A74" s="16" t="s">
        <v>859</v>
      </c>
      <c r="B74" s="17" t="s">
        <v>860</v>
      </c>
      <c r="C74" s="17" t="s">
        <v>405</v>
      </c>
      <c r="D74" s="17" t="s">
        <v>853</v>
      </c>
      <c r="E74" s="17" t="s">
        <v>851</v>
      </c>
      <c r="F74" s="17" t="s">
        <v>154</v>
      </c>
      <c r="G74" s="17" t="s">
        <v>854</v>
      </c>
      <c r="H74" s="17" t="s">
        <v>861</v>
      </c>
      <c r="I74" s="17" t="s">
        <v>862</v>
      </c>
      <c r="J74" s="17" t="s">
        <v>863</v>
      </c>
      <c r="K74" s="17" t="s">
        <v>864</v>
      </c>
      <c r="L74" s="17" t="s">
        <v>865</v>
      </c>
      <c r="M74" s="17" t="s">
        <v>51</v>
      </c>
      <c r="N74" s="17" t="s">
        <v>866</v>
      </c>
      <c r="O74" s="17" t="s">
        <v>867</v>
      </c>
      <c r="P74" s="17" t="s">
        <v>868</v>
      </c>
      <c r="Q74" s="17" t="s">
        <v>124</v>
      </c>
      <c r="R74" s="17" t="s">
        <v>869</v>
      </c>
      <c r="S74" s="17" t="s">
        <v>870</v>
      </c>
      <c r="T74" s="18" t="n">
        <f aca="false">COUNTIF(Responsibilities!$B:$B,A74)</f>
        <v>9</v>
      </c>
    </row>
    <row r="75" customFormat="false" ht="22.35" hidden="false" customHeight="false" outlineLevel="0" collapsed="false">
      <c r="A75" s="16" t="s">
        <v>871</v>
      </c>
      <c r="B75" s="17" t="s">
        <v>872</v>
      </c>
      <c r="C75" s="17" t="s">
        <v>405</v>
      </c>
      <c r="D75" s="17" t="s">
        <v>853</v>
      </c>
      <c r="E75" s="17" t="s">
        <v>851</v>
      </c>
      <c r="F75" s="17" t="s">
        <v>154</v>
      </c>
      <c r="G75" s="17" t="s">
        <v>854</v>
      </c>
      <c r="H75" s="17" t="s">
        <v>873</v>
      </c>
      <c r="I75" s="17" t="s">
        <v>874</v>
      </c>
      <c r="J75" s="17" t="s">
        <v>875</v>
      </c>
      <c r="K75" s="17" t="s">
        <v>876</v>
      </c>
      <c r="L75" s="17" t="s">
        <v>877</v>
      </c>
      <c r="M75" s="17" t="s">
        <v>51</v>
      </c>
      <c r="N75" s="17" t="s">
        <v>878</v>
      </c>
      <c r="O75" s="17" t="s">
        <v>879</v>
      </c>
      <c r="P75" s="17" t="s">
        <v>880</v>
      </c>
      <c r="Q75" s="17" t="s">
        <v>124</v>
      </c>
      <c r="R75" s="17" t="s">
        <v>881</v>
      </c>
      <c r="S75" s="17" t="s">
        <v>882</v>
      </c>
      <c r="T75" s="18" t="n">
        <f aca="false">COUNTIF(Responsibilities!$B:$B,A75)</f>
        <v>3</v>
      </c>
    </row>
    <row r="76" customFormat="false" ht="22.35" hidden="false" customHeight="false" outlineLevel="0" collapsed="false">
      <c r="A76" s="16" t="s">
        <v>883</v>
      </c>
      <c r="B76" s="17" t="s">
        <v>884</v>
      </c>
      <c r="C76" s="17" t="s">
        <v>405</v>
      </c>
      <c r="D76" s="17" t="s">
        <v>853</v>
      </c>
      <c r="E76" s="17" t="s">
        <v>851</v>
      </c>
      <c r="F76" s="17" t="s">
        <v>154</v>
      </c>
      <c r="G76" s="17" t="s">
        <v>854</v>
      </c>
      <c r="H76" s="17" t="s">
        <v>885</v>
      </c>
      <c r="I76" s="17" t="s">
        <v>886</v>
      </c>
      <c r="J76" s="17" t="s">
        <v>887</v>
      </c>
      <c r="K76" s="17" t="s">
        <v>888</v>
      </c>
      <c r="L76" s="17" t="s">
        <v>889</v>
      </c>
      <c r="M76" s="17" t="s">
        <v>723</v>
      </c>
      <c r="N76" s="17" t="s">
        <v>890</v>
      </c>
      <c r="O76" s="17" t="s">
        <v>51</v>
      </c>
      <c r="P76" s="17" t="s">
        <v>891</v>
      </c>
      <c r="Q76" s="17" t="s">
        <v>76</v>
      </c>
      <c r="R76" s="17" t="s">
        <v>892</v>
      </c>
      <c r="S76" s="17" t="s">
        <v>893</v>
      </c>
      <c r="T76" s="18" t="n">
        <f aca="false">COUNTIF(Responsibilities!$B:$B,A76)</f>
        <v>3</v>
      </c>
    </row>
    <row r="77" customFormat="false" ht="22.35" hidden="false" customHeight="false" outlineLevel="0" collapsed="false">
      <c r="A77" s="16" t="s">
        <v>894</v>
      </c>
      <c r="B77" s="17" t="s">
        <v>895</v>
      </c>
      <c r="C77" s="17" t="s">
        <v>405</v>
      </c>
      <c r="D77" s="17" t="s">
        <v>853</v>
      </c>
      <c r="E77" s="17" t="s">
        <v>851</v>
      </c>
      <c r="F77" s="17" t="s">
        <v>154</v>
      </c>
      <c r="G77" s="17" t="s">
        <v>854</v>
      </c>
      <c r="H77" s="17" t="s">
        <v>896</v>
      </c>
      <c r="I77" s="17" t="s">
        <v>897</v>
      </c>
      <c r="J77" s="17" t="s">
        <v>898</v>
      </c>
      <c r="K77" s="17" t="s">
        <v>899</v>
      </c>
      <c r="L77" s="17" t="s">
        <v>900</v>
      </c>
      <c r="M77" s="17" t="s">
        <v>51</v>
      </c>
      <c r="N77" s="17" t="s">
        <v>901</v>
      </c>
      <c r="O77" s="17" t="s">
        <v>902</v>
      </c>
      <c r="P77" s="17" t="s">
        <v>903</v>
      </c>
      <c r="Q77" s="17" t="s">
        <v>124</v>
      </c>
      <c r="R77" s="17" t="s">
        <v>904</v>
      </c>
      <c r="S77" s="17" t="s">
        <v>905</v>
      </c>
      <c r="T77" s="18" t="n">
        <f aca="false">COUNTIF(Responsibilities!$B:$B,A77)</f>
        <v>3</v>
      </c>
    </row>
    <row r="78" customFormat="false" ht="22.35" hidden="false" customHeight="false" outlineLevel="0" collapsed="false">
      <c r="A78" s="16" t="s">
        <v>906</v>
      </c>
      <c r="B78" s="17" t="s">
        <v>907</v>
      </c>
      <c r="C78" s="17" t="s">
        <v>405</v>
      </c>
      <c r="D78" s="17" t="s">
        <v>853</v>
      </c>
      <c r="E78" s="17" t="s">
        <v>851</v>
      </c>
      <c r="F78" s="17" t="s">
        <v>154</v>
      </c>
      <c r="G78" s="17" t="s">
        <v>854</v>
      </c>
      <c r="H78" s="17" t="s">
        <v>908</v>
      </c>
      <c r="I78" s="17" t="s">
        <v>909</v>
      </c>
      <c r="J78" s="17" t="s">
        <v>910</v>
      </c>
      <c r="K78" s="17" t="s">
        <v>911</v>
      </c>
      <c r="L78" s="17" t="s">
        <v>912</v>
      </c>
      <c r="M78" s="17" t="s">
        <v>51</v>
      </c>
      <c r="N78" s="17" t="s">
        <v>913</v>
      </c>
      <c r="O78" s="17" t="s">
        <v>51</v>
      </c>
      <c r="P78" s="17" t="s">
        <v>914</v>
      </c>
      <c r="Q78" s="17" t="s">
        <v>124</v>
      </c>
      <c r="R78" s="17" t="s">
        <v>915</v>
      </c>
      <c r="S78" s="17" t="s">
        <v>916</v>
      </c>
      <c r="T78" s="18" t="n">
        <f aca="false">COUNTIF(Responsibilities!$B:$B,A78)</f>
        <v>11</v>
      </c>
    </row>
    <row r="79" customFormat="false" ht="22.35" hidden="false" customHeight="false" outlineLevel="0" collapsed="false">
      <c r="A79" s="16" t="s">
        <v>917</v>
      </c>
      <c r="B79" s="17" t="s">
        <v>918</v>
      </c>
      <c r="C79" s="17" t="s">
        <v>405</v>
      </c>
      <c r="D79" s="17" t="s">
        <v>853</v>
      </c>
      <c r="E79" s="17" t="s">
        <v>851</v>
      </c>
      <c r="F79" s="17" t="s">
        <v>154</v>
      </c>
      <c r="G79" s="17" t="s">
        <v>854</v>
      </c>
      <c r="H79" s="17" t="s">
        <v>919</v>
      </c>
      <c r="I79" s="17" t="s">
        <v>920</v>
      </c>
      <c r="J79" s="17" t="s">
        <v>921</v>
      </c>
      <c r="K79" s="17" t="s">
        <v>922</v>
      </c>
      <c r="L79" s="17" t="s">
        <v>923</v>
      </c>
      <c r="M79" s="17" t="s">
        <v>51</v>
      </c>
      <c r="N79" s="17" t="s">
        <v>924</v>
      </c>
      <c r="O79" s="17" t="s">
        <v>925</v>
      </c>
      <c r="P79" s="17" t="s">
        <v>926</v>
      </c>
      <c r="Q79" s="17" t="s">
        <v>124</v>
      </c>
      <c r="R79" s="17" t="s">
        <v>927</v>
      </c>
      <c r="S79" s="17" t="s">
        <v>928</v>
      </c>
      <c r="T79" s="18" t="n">
        <f aca="false">COUNTIF(Responsibilities!$B:$B,A79)</f>
        <v>2</v>
      </c>
    </row>
    <row r="80" customFormat="false" ht="22.35" hidden="false" customHeight="false" outlineLevel="0" collapsed="false">
      <c r="A80" s="16" t="s">
        <v>929</v>
      </c>
      <c r="B80" s="17" t="s">
        <v>930</v>
      </c>
      <c r="C80" s="17" t="s">
        <v>405</v>
      </c>
      <c r="D80" s="17" t="s">
        <v>853</v>
      </c>
      <c r="E80" s="17" t="s">
        <v>851</v>
      </c>
      <c r="F80" s="17" t="s">
        <v>154</v>
      </c>
      <c r="G80" s="17" t="s">
        <v>854</v>
      </c>
      <c r="H80" s="17" t="s">
        <v>931</v>
      </c>
      <c r="I80" s="17" t="s">
        <v>932</v>
      </c>
      <c r="J80" s="17" t="s">
        <v>933</v>
      </c>
      <c r="K80" s="17" t="s">
        <v>934</v>
      </c>
      <c r="L80" s="17" t="s">
        <v>935</v>
      </c>
      <c r="M80" s="17" t="s">
        <v>936</v>
      </c>
      <c r="N80" s="17" t="s">
        <v>937</v>
      </c>
      <c r="O80" s="17" t="s">
        <v>51</v>
      </c>
      <c r="P80" s="17" t="s">
        <v>938</v>
      </c>
      <c r="Q80" s="17" t="s">
        <v>76</v>
      </c>
      <c r="R80" s="17" t="s">
        <v>939</v>
      </c>
      <c r="S80" s="17" t="s">
        <v>940</v>
      </c>
      <c r="T80" s="18" t="n">
        <f aca="false">COUNTIF(Responsibilities!$B:$B,A80)</f>
        <v>20</v>
      </c>
    </row>
    <row r="81" customFormat="false" ht="32.8" hidden="false" customHeight="false" outlineLevel="0" collapsed="false">
      <c r="A81" s="16" t="s">
        <v>941</v>
      </c>
      <c r="B81" s="17" t="s">
        <v>942</v>
      </c>
      <c r="C81" s="17" t="s">
        <v>405</v>
      </c>
      <c r="D81" s="17" t="s">
        <v>853</v>
      </c>
      <c r="E81" s="17" t="s">
        <v>851</v>
      </c>
      <c r="F81" s="17" t="s">
        <v>154</v>
      </c>
      <c r="G81" s="17" t="s">
        <v>854</v>
      </c>
      <c r="H81" s="17" t="s">
        <v>943</v>
      </c>
      <c r="I81" s="17" t="s">
        <v>944</v>
      </c>
      <c r="J81" s="17" t="s">
        <v>945</v>
      </c>
      <c r="K81" s="17" t="s">
        <v>946</v>
      </c>
      <c r="L81" s="17" t="s">
        <v>947</v>
      </c>
      <c r="M81" s="17" t="s">
        <v>51</v>
      </c>
      <c r="N81" s="17" t="s">
        <v>948</v>
      </c>
      <c r="O81" s="17" t="s">
        <v>949</v>
      </c>
      <c r="P81" s="17" t="s">
        <v>950</v>
      </c>
      <c r="Q81" s="17" t="s">
        <v>146</v>
      </c>
      <c r="R81" s="17" t="s">
        <v>951</v>
      </c>
      <c r="S81" s="17" t="s">
        <v>952</v>
      </c>
      <c r="T81" s="18" t="n">
        <f aca="false">COUNTIF(Responsibilities!$B:$B,A81)</f>
        <v>10</v>
      </c>
    </row>
    <row r="82" customFormat="false" ht="22.35" hidden="false" customHeight="false" outlineLevel="0" collapsed="false">
      <c r="A82" s="16" t="s">
        <v>953</v>
      </c>
      <c r="B82" s="17" t="s">
        <v>954</v>
      </c>
      <c r="C82" s="17" t="s">
        <v>405</v>
      </c>
      <c r="D82" s="17" t="s">
        <v>853</v>
      </c>
      <c r="E82" s="17" t="s">
        <v>851</v>
      </c>
      <c r="F82" s="17" t="s">
        <v>154</v>
      </c>
      <c r="G82" s="17" t="s">
        <v>854</v>
      </c>
      <c r="H82" s="17" t="s">
        <v>955</v>
      </c>
      <c r="I82" s="17" t="s">
        <v>956</v>
      </c>
      <c r="J82" s="17" t="s">
        <v>957</v>
      </c>
      <c r="K82" s="17" t="s">
        <v>958</v>
      </c>
      <c r="L82" s="17" t="s">
        <v>302</v>
      </c>
      <c r="M82" s="17" t="s">
        <v>51</v>
      </c>
      <c r="N82" s="17" t="s">
        <v>959</v>
      </c>
      <c r="O82" s="17" t="s">
        <v>960</v>
      </c>
      <c r="P82" s="17" t="s">
        <v>961</v>
      </c>
      <c r="Q82" s="17" t="s">
        <v>146</v>
      </c>
      <c r="R82" s="17" t="s">
        <v>962</v>
      </c>
      <c r="S82" s="17" t="s">
        <v>963</v>
      </c>
      <c r="T82" s="18" t="n">
        <f aca="false">COUNTIF(Responsibilities!$B:$B,A82)</f>
        <v>9</v>
      </c>
    </row>
    <row r="83" customFormat="false" ht="32.8" hidden="false" customHeight="false" outlineLevel="0" collapsed="false">
      <c r="A83" s="16" t="s">
        <v>964</v>
      </c>
      <c r="B83" s="17" t="s">
        <v>965</v>
      </c>
      <c r="C83" s="17" t="s">
        <v>405</v>
      </c>
      <c r="D83" s="17" t="s">
        <v>853</v>
      </c>
      <c r="E83" s="17" t="s">
        <v>851</v>
      </c>
      <c r="F83" s="17" t="s">
        <v>154</v>
      </c>
      <c r="G83" s="17" t="s">
        <v>854</v>
      </c>
      <c r="H83" s="17" t="s">
        <v>966</v>
      </c>
      <c r="I83" s="17" t="s">
        <v>967</v>
      </c>
      <c r="J83" s="17" t="s">
        <v>968</v>
      </c>
      <c r="K83" s="17" t="s">
        <v>969</v>
      </c>
      <c r="L83" s="17" t="s">
        <v>970</v>
      </c>
      <c r="M83" s="17" t="s">
        <v>51</v>
      </c>
      <c r="N83" s="17" t="s">
        <v>971</v>
      </c>
      <c r="O83" s="17" t="s">
        <v>972</v>
      </c>
      <c r="P83" s="17" t="s">
        <v>973</v>
      </c>
      <c r="Q83" s="17" t="s">
        <v>124</v>
      </c>
      <c r="R83" s="17" t="s">
        <v>974</v>
      </c>
      <c r="S83" s="17" t="s">
        <v>975</v>
      </c>
      <c r="T83" s="18" t="n">
        <f aca="false">COUNTIF(Responsibilities!$B:$B,A83)</f>
        <v>9</v>
      </c>
    </row>
    <row r="84" customFormat="false" ht="32.8" hidden="false" customHeight="false" outlineLevel="0" collapsed="false">
      <c r="A84" s="13" t="s">
        <v>976</v>
      </c>
      <c r="B84" s="14" t="s">
        <v>977</v>
      </c>
      <c r="C84" s="14" t="s">
        <v>390</v>
      </c>
      <c r="D84" s="14" t="s">
        <v>978</v>
      </c>
      <c r="E84" s="14" t="s">
        <v>187</v>
      </c>
      <c r="F84" s="14" t="s">
        <v>479</v>
      </c>
      <c r="G84" s="14" t="s">
        <v>979</v>
      </c>
      <c r="H84" s="14" t="s">
        <v>980</v>
      </c>
      <c r="I84" s="14" t="s">
        <v>981</v>
      </c>
      <c r="J84" s="14" t="s">
        <v>395</v>
      </c>
      <c r="K84" s="14" t="s">
        <v>396</v>
      </c>
      <c r="L84" s="14" t="s">
        <v>397</v>
      </c>
      <c r="M84" s="14" t="s">
        <v>51</v>
      </c>
      <c r="N84" s="14" t="s">
        <v>982</v>
      </c>
      <c r="O84" s="14" t="s">
        <v>399</v>
      </c>
      <c r="P84" s="14" t="s">
        <v>400</v>
      </c>
      <c r="Q84" s="14" t="s">
        <v>124</v>
      </c>
      <c r="R84" s="14" t="s">
        <v>983</v>
      </c>
      <c r="S84" s="14" t="s">
        <v>402</v>
      </c>
      <c r="T84" s="15" t="n">
        <f aca="false">COUNTIF(Responsibilities!$B:$B,A84)</f>
        <v>2</v>
      </c>
    </row>
    <row r="85" customFormat="false" ht="32.8" hidden="false" customHeight="false" outlineLevel="0" collapsed="false">
      <c r="A85" s="16" t="s">
        <v>984</v>
      </c>
      <c r="B85" s="17" t="s">
        <v>985</v>
      </c>
      <c r="C85" s="17" t="s">
        <v>405</v>
      </c>
      <c r="D85" s="17" t="s">
        <v>978</v>
      </c>
      <c r="E85" s="17" t="s">
        <v>976</v>
      </c>
      <c r="F85" s="17" t="s">
        <v>479</v>
      </c>
      <c r="G85" s="17" t="s">
        <v>979</v>
      </c>
      <c r="H85" s="17" t="s">
        <v>986</v>
      </c>
      <c r="I85" s="17" t="s">
        <v>987</v>
      </c>
      <c r="J85" s="17" t="s">
        <v>988</v>
      </c>
      <c r="K85" s="17" t="s">
        <v>989</v>
      </c>
      <c r="L85" s="17" t="s">
        <v>990</v>
      </c>
      <c r="M85" s="17" t="s">
        <v>991</v>
      </c>
      <c r="N85" s="17" t="s">
        <v>992</v>
      </c>
      <c r="O85" s="17" t="s">
        <v>993</v>
      </c>
      <c r="P85" s="17" t="s">
        <v>994</v>
      </c>
      <c r="Q85" s="17" t="s">
        <v>124</v>
      </c>
      <c r="R85" s="17" t="s">
        <v>995</v>
      </c>
      <c r="S85" s="17" t="s">
        <v>996</v>
      </c>
      <c r="T85" s="18" t="n">
        <f aca="false">COUNTIF(Responsibilities!$B:$B,A85)</f>
        <v>10</v>
      </c>
    </row>
    <row r="86" customFormat="false" ht="22.35" hidden="false" customHeight="false" outlineLevel="0" collapsed="false">
      <c r="A86" s="16" t="s">
        <v>997</v>
      </c>
      <c r="B86" s="17" t="s">
        <v>998</v>
      </c>
      <c r="C86" s="17" t="s">
        <v>405</v>
      </c>
      <c r="D86" s="17" t="s">
        <v>978</v>
      </c>
      <c r="E86" s="17" t="s">
        <v>976</v>
      </c>
      <c r="F86" s="17" t="s">
        <v>479</v>
      </c>
      <c r="G86" s="17" t="s">
        <v>979</v>
      </c>
      <c r="H86" s="17" t="s">
        <v>999</v>
      </c>
      <c r="I86" s="17" t="s">
        <v>1000</v>
      </c>
      <c r="J86" s="17" t="s">
        <v>1001</v>
      </c>
      <c r="K86" s="17" t="s">
        <v>1002</v>
      </c>
      <c r="L86" s="17" t="s">
        <v>711</v>
      </c>
      <c r="M86" s="17" t="s">
        <v>1003</v>
      </c>
      <c r="N86" s="17" t="s">
        <v>1004</v>
      </c>
      <c r="O86" s="17" t="s">
        <v>51</v>
      </c>
      <c r="P86" s="17" t="s">
        <v>1005</v>
      </c>
      <c r="Q86" s="17" t="s">
        <v>76</v>
      </c>
      <c r="R86" s="17" t="s">
        <v>1006</v>
      </c>
      <c r="S86" s="17" t="s">
        <v>1007</v>
      </c>
      <c r="T86" s="18" t="n">
        <f aca="false">COUNTIF(Responsibilities!$B:$B,A86)</f>
        <v>4</v>
      </c>
    </row>
    <row r="87" customFormat="false" ht="22.35" hidden="false" customHeight="false" outlineLevel="0" collapsed="false">
      <c r="A87" s="16" t="s">
        <v>1008</v>
      </c>
      <c r="B87" s="17" t="s">
        <v>1009</v>
      </c>
      <c r="C87" s="17" t="s">
        <v>405</v>
      </c>
      <c r="D87" s="17" t="s">
        <v>978</v>
      </c>
      <c r="E87" s="17" t="s">
        <v>976</v>
      </c>
      <c r="F87" s="17" t="s">
        <v>479</v>
      </c>
      <c r="G87" s="17" t="s">
        <v>979</v>
      </c>
      <c r="H87" s="17" t="s">
        <v>1010</v>
      </c>
      <c r="I87" s="17" t="s">
        <v>1011</v>
      </c>
      <c r="J87" s="17" t="s">
        <v>1012</v>
      </c>
      <c r="K87" s="17" t="s">
        <v>1013</v>
      </c>
      <c r="L87" s="17" t="s">
        <v>1014</v>
      </c>
      <c r="M87" s="17" t="s">
        <v>492</v>
      </c>
      <c r="N87" s="17" t="s">
        <v>1015</v>
      </c>
      <c r="O87" s="17" t="s">
        <v>51</v>
      </c>
      <c r="P87" s="17" t="s">
        <v>1016</v>
      </c>
      <c r="Q87" s="17" t="s">
        <v>76</v>
      </c>
      <c r="R87" s="17" t="s">
        <v>1017</v>
      </c>
      <c r="S87" s="17" t="s">
        <v>1018</v>
      </c>
      <c r="T87" s="18" t="n">
        <f aca="false">COUNTIF(Responsibilities!$B:$B,A87)</f>
        <v>2</v>
      </c>
    </row>
    <row r="88" customFormat="false" ht="22.35" hidden="false" customHeight="false" outlineLevel="0" collapsed="false">
      <c r="A88" s="16" t="s">
        <v>1019</v>
      </c>
      <c r="B88" s="17" t="s">
        <v>1020</v>
      </c>
      <c r="C88" s="17" t="s">
        <v>405</v>
      </c>
      <c r="D88" s="17" t="s">
        <v>978</v>
      </c>
      <c r="E88" s="17" t="s">
        <v>976</v>
      </c>
      <c r="F88" s="17" t="s">
        <v>479</v>
      </c>
      <c r="G88" s="17" t="s">
        <v>979</v>
      </c>
      <c r="H88" s="17" t="s">
        <v>1021</v>
      </c>
      <c r="I88" s="17" t="s">
        <v>1022</v>
      </c>
      <c r="J88" s="17" t="s">
        <v>1023</v>
      </c>
      <c r="K88" s="17" t="s">
        <v>1024</v>
      </c>
      <c r="L88" s="17" t="s">
        <v>1025</v>
      </c>
      <c r="M88" s="17" t="s">
        <v>1003</v>
      </c>
      <c r="N88" s="17" t="s">
        <v>1026</v>
      </c>
      <c r="O88" s="17" t="s">
        <v>51</v>
      </c>
      <c r="P88" s="17" t="s">
        <v>1027</v>
      </c>
      <c r="Q88" s="17" t="s">
        <v>76</v>
      </c>
      <c r="R88" s="17" t="s">
        <v>1028</v>
      </c>
      <c r="S88" s="17" t="s">
        <v>1029</v>
      </c>
      <c r="T88" s="18" t="n">
        <f aca="false">COUNTIF(Responsibilities!$B:$B,A88)</f>
        <v>3</v>
      </c>
    </row>
    <row r="89" customFormat="false" ht="22.35" hidden="false" customHeight="false" outlineLevel="0" collapsed="false">
      <c r="A89" s="16" t="s">
        <v>1030</v>
      </c>
      <c r="B89" s="17" t="s">
        <v>1031</v>
      </c>
      <c r="C89" s="17" t="s">
        <v>405</v>
      </c>
      <c r="D89" s="17" t="s">
        <v>978</v>
      </c>
      <c r="E89" s="17" t="s">
        <v>976</v>
      </c>
      <c r="F89" s="17" t="s">
        <v>479</v>
      </c>
      <c r="G89" s="17" t="s">
        <v>979</v>
      </c>
      <c r="H89" s="17" t="s">
        <v>1032</v>
      </c>
      <c r="I89" s="17" t="s">
        <v>1033</v>
      </c>
      <c r="J89" s="17" t="s">
        <v>1034</v>
      </c>
      <c r="K89" s="17" t="s">
        <v>1035</v>
      </c>
      <c r="L89" s="17" t="s">
        <v>1036</v>
      </c>
      <c r="M89" s="17" t="s">
        <v>1037</v>
      </c>
      <c r="N89" s="17" t="s">
        <v>1038</v>
      </c>
      <c r="O89" s="17" t="s">
        <v>1039</v>
      </c>
      <c r="P89" s="17" t="s">
        <v>1040</v>
      </c>
      <c r="Q89" s="17" t="s">
        <v>124</v>
      </c>
      <c r="R89" s="17" t="s">
        <v>1041</v>
      </c>
      <c r="S89" s="17" t="s">
        <v>1007</v>
      </c>
      <c r="T89" s="18" t="n">
        <f aca="false">COUNTIF(Responsibilities!$B:$B,A89)</f>
        <v>2</v>
      </c>
    </row>
    <row r="90" customFormat="false" ht="22.35" hidden="false" customHeight="false" outlineLevel="0" collapsed="false">
      <c r="A90" s="16" t="s">
        <v>1042</v>
      </c>
      <c r="B90" s="17" t="s">
        <v>1043</v>
      </c>
      <c r="C90" s="17" t="s">
        <v>405</v>
      </c>
      <c r="D90" s="17" t="s">
        <v>978</v>
      </c>
      <c r="E90" s="17" t="s">
        <v>976</v>
      </c>
      <c r="F90" s="17" t="s">
        <v>479</v>
      </c>
      <c r="G90" s="17" t="s">
        <v>979</v>
      </c>
      <c r="H90" s="17" t="s">
        <v>1044</v>
      </c>
      <c r="I90" s="17" t="s">
        <v>1045</v>
      </c>
      <c r="J90" s="17" t="s">
        <v>1046</v>
      </c>
      <c r="K90" s="17" t="s">
        <v>1047</v>
      </c>
      <c r="L90" s="17" t="s">
        <v>1048</v>
      </c>
      <c r="M90" s="17" t="s">
        <v>51</v>
      </c>
      <c r="N90" s="17" t="s">
        <v>1049</v>
      </c>
      <c r="O90" s="17" t="s">
        <v>1050</v>
      </c>
      <c r="P90" s="17" t="s">
        <v>1051</v>
      </c>
      <c r="Q90" s="17" t="s">
        <v>124</v>
      </c>
      <c r="R90" s="17" t="s">
        <v>1052</v>
      </c>
      <c r="S90" s="17" t="s">
        <v>1053</v>
      </c>
      <c r="T90" s="18" t="n">
        <f aca="false">COUNTIF(Responsibilities!$B:$B,A90)</f>
        <v>2</v>
      </c>
    </row>
    <row r="91" customFormat="false" ht="32.8" hidden="false" customHeight="false" outlineLevel="0" collapsed="false">
      <c r="A91" s="16" t="s">
        <v>1054</v>
      </c>
      <c r="B91" s="17" t="s">
        <v>1055</v>
      </c>
      <c r="C91" s="17" t="s">
        <v>405</v>
      </c>
      <c r="D91" s="17" t="s">
        <v>978</v>
      </c>
      <c r="E91" s="17" t="s">
        <v>976</v>
      </c>
      <c r="F91" s="17" t="s">
        <v>479</v>
      </c>
      <c r="G91" s="17" t="s">
        <v>979</v>
      </c>
      <c r="H91" s="17" t="s">
        <v>1056</v>
      </c>
      <c r="I91" s="17" t="s">
        <v>1057</v>
      </c>
      <c r="J91" s="17" t="s">
        <v>1058</v>
      </c>
      <c r="K91" s="17" t="s">
        <v>1059</v>
      </c>
      <c r="L91" s="17" t="s">
        <v>1060</v>
      </c>
      <c r="M91" s="17" t="s">
        <v>51</v>
      </c>
      <c r="N91" s="17" t="s">
        <v>1061</v>
      </c>
      <c r="O91" s="17" t="s">
        <v>1062</v>
      </c>
      <c r="P91" s="17" t="s">
        <v>1063</v>
      </c>
      <c r="Q91" s="17" t="s">
        <v>124</v>
      </c>
      <c r="R91" s="17" t="s">
        <v>89</v>
      </c>
      <c r="S91" s="17" t="s">
        <v>1064</v>
      </c>
      <c r="T91" s="18" t="n">
        <f aca="false">COUNTIF(Responsibilities!$B:$B,A91)</f>
        <v>12</v>
      </c>
    </row>
    <row r="92" customFormat="false" ht="22.35" hidden="false" customHeight="false" outlineLevel="0" collapsed="false">
      <c r="A92" s="16" t="s">
        <v>1025</v>
      </c>
      <c r="B92" s="17" t="s">
        <v>1065</v>
      </c>
      <c r="C92" s="17" t="s">
        <v>405</v>
      </c>
      <c r="D92" s="17" t="s">
        <v>978</v>
      </c>
      <c r="E92" s="17" t="s">
        <v>976</v>
      </c>
      <c r="F92" s="17" t="s">
        <v>479</v>
      </c>
      <c r="G92" s="17" t="s">
        <v>979</v>
      </c>
      <c r="H92" s="17" t="s">
        <v>1066</v>
      </c>
      <c r="I92" s="17" t="s">
        <v>1067</v>
      </c>
      <c r="J92" s="17" t="s">
        <v>1068</v>
      </c>
      <c r="K92" s="17" t="s">
        <v>1069</v>
      </c>
      <c r="L92" s="17" t="s">
        <v>1070</v>
      </c>
      <c r="M92" s="17" t="s">
        <v>51</v>
      </c>
      <c r="N92" s="17" t="s">
        <v>1071</v>
      </c>
      <c r="O92" s="17" t="s">
        <v>51</v>
      </c>
      <c r="P92" s="17" t="s">
        <v>1072</v>
      </c>
      <c r="Q92" s="17" t="s">
        <v>76</v>
      </c>
      <c r="R92" s="17" t="s">
        <v>684</v>
      </c>
      <c r="S92" s="17" t="s">
        <v>1073</v>
      </c>
      <c r="T92" s="18" t="n">
        <f aca="false">COUNTIF(Responsibilities!$B:$B,A92)</f>
        <v>2</v>
      </c>
    </row>
    <row r="93" customFormat="false" ht="32.8" hidden="false" customHeight="false" outlineLevel="0" collapsed="false">
      <c r="A93" s="13" t="s">
        <v>1074</v>
      </c>
      <c r="B93" s="14" t="s">
        <v>1075</v>
      </c>
      <c r="C93" s="14" t="s">
        <v>390</v>
      </c>
      <c r="D93" s="14" t="s">
        <v>1076</v>
      </c>
      <c r="E93" s="14" t="s">
        <v>187</v>
      </c>
      <c r="F93" s="14" t="s">
        <v>767</v>
      </c>
      <c r="G93" s="14" t="s">
        <v>1077</v>
      </c>
      <c r="H93" s="14" t="s">
        <v>1078</v>
      </c>
      <c r="I93" s="14" t="s">
        <v>1079</v>
      </c>
      <c r="J93" s="14" t="s">
        <v>395</v>
      </c>
      <c r="K93" s="14" t="s">
        <v>396</v>
      </c>
      <c r="L93" s="14" t="s">
        <v>397</v>
      </c>
      <c r="M93" s="14" t="s">
        <v>51</v>
      </c>
      <c r="N93" s="14" t="s">
        <v>1080</v>
      </c>
      <c r="O93" s="14" t="s">
        <v>399</v>
      </c>
      <c r="P93" s="14" t="s">
        <v>400</v>
      </c>
      <c r="Q93" s="14" t="s">
        <v>124</v>
      </c>
      <c r="R93" s="14" t="s">
        <v>1081</v>
      </c>
      <c r="S93" s="14" t="s">
        <v>402</v>
      </c>
      <c r="T93" s="15" t="n">
        <f aca="false">COUNTIF(Responsibilities!$B:$B,A93)</f>
        <v>3</v>
      </c>
    </row>
    <row r="94" customFormat="false" ht="22.35" hidden="false" customHeight="false" outlineLevel="0" collapsed="false">
      <c r="A94" s="16" t="s">
        <v>1082</v>
      </c>
      <c r="B94" s="17" t="s">
        <v>1083</v>
      </c>
      <c r="C94" s="17" t="s">
        <v>405</v>
      </c>
      <c r="D94" s="17" t="s">
        <v>1076</v>
      </c>
      <c r="E94" s="17" t="s">
        <v>1074</v>
      </c>
      <c r="F94" s="17" t="s">
        <v>767</v>
      </c>
      <c r="G94" s="17" t="s">
        <v>1077</v>
      </c>
      <c r="H94" s="17" t="s">
        <v>1084</v>
      </c>
      <c r="I94" s="17" t="s">
        <v>1085</v>
      </c>
      <c r="J94" s="17" t="s">
        <v>1086</v>
      </c>
      <c r="K94" s="17" t="s">
        <v>1087</v>
      </c>
      <c r="L94" s="17" t="s">
        <v>1088</v>
      </c>
      <c r="M94" s="17" t="s">
        <v>51</v>
      </c>
      <c r="N94" s="17" t="s">
        <v>1089</v>
      </c>
      <c r="O94" s="17" t="s">
        <v>51</v>
      </c>
      <c r="P94" s="17" t="s">
        <v>1090</v>
      </c>
      <c r="Q94" s="17" t="s">
        <v>76</v>
      </c>
      <c r="R94" s="17" t="s">
        <v>762</v>
      </c>
      <c r="S94" s="17" t="s">
        <v>1091</v>
      </c>
      <c r="T94" s="18" t="n">
        <f aca="false">COUNTIF(Responsibilities!$B:$B,A94)</f>
        <v>4</v>
      </c>
    </row>
    <row r="95" customFormat="false" ht="32.8" hidden="false" customHeight="false" outlineLevel="0" collapsed="false">
      <c r="A95" s="16" t="s">
        <v>1088</v>
      </c>
      <c r="B95" s="17" t="s">
        <v>1092</v>
      </c>
      <c r="C95" s="17" t="s">
        <v>405</v>
      </c>
      <c r="D95" s="17" t="s">
        <v>1076</v>
      </c>
      <c r="E95" s="17" t="s">
        <v>1074</v>
      </c>
      <c r="F95" s="17" t="s">
        <v>767</v>
      </c>
      <c r="G95" s="17" t="s">
        <v>1077</v>
      </c>
      <c r="H95" s="17" t="s">
        <v>1093</v>
      </c>
      <c r="I95" s="17" t="s">
        <v>1094</v>
      </c>
      <c r="J95" s="17" t="s">
        <v>1095</v>
      </c>
      <c r="K95" s="17" t="s">
        <v>1096</v>
      </c>
      <c r="L95" s="17" t="s">
        <v>1097</v>
      </c>
      <c r="M95" s="17" t="s">
        <v>723</v>
      </c>
      <c r="N95" s="17" t="s">
        <v>1098</v>
      </c>
      <c r="O95" s="17" t="s">
        <v>1099</v>
      </c>
      <c r="P95" s="17" t="s">
        <v>1100</v>
      </c>
      <c r="Q95" s="17" t="s">
        <v>146</v>
      </c>
      <c r="R95" s="17" t="s">
        <v>762</v>
      </c>
      <c r="S95" s="17" t="s">
        <v>1101</v>
      </c>
      <c r="T95" s="18" t="n">
        <f aca="false">COUNTIF(Responsibilities!$B:$B,A95)</f>
        <v>5</v>
      </c>
    </row>
    <row r="96" customFormat="false" ht="43.25" hidden="false" customHeight="false" outlineLevel="0" collapsed="false">
      <c r="A96" s="16" t="s">
        <v>1097</v>
      </c>
      <c r="B96" s="17" t="s">
        <v>1102</v>
      </c>
      <c r="C96" s="17" t="s">
        <v>405</v>
      </c>
      <c r="D96" s="17" t="s">
        <v>1076</v>
      </c>
      <c r="E96" s="17" t="s">
        <v>1074</v>
      </c>
      <c r="F96" s="17" t="s">
        <v>767</v>
      </c>
      <c r="G96" s="17" t="s">
        <v>1077</v>
      </c>
      <c r="H96" s="17" t="s">
        <v>1103</v>
      </c>
      <c r="I96" s="17" t="s">
        <v>1104</v>
      </c>
      <c r="J96" s="17" t="s">
        <v>1105</v>
      </c>
      <c r="K96" s="17" t="s">
        <v>1106</v>
      </c>
      <c r="L96" s="17" t="s">
        <v>1107</v>
      </c>
      <c r="M96" s="17" t="s">
        <v>51</v>
      </c>
      <c r="N96" s="17" t="s">
        <v>1108</v>
      </c>
      <c r="O96" s="17" t="s">
        <v>1109</v>
      </c>
      <c r="P96" s="17" t="s">
        <v>1110</v>
      </c>
      <c r="Q96" s="17" t="s">
        <v>124</v>
      </c>
      <c r="R96" s="17" t="s">
        <v>762</v>
      </c>
      <c r="S96" s="17" t="s">
        <v>1111</v>
      </c>
      <c r="T96" s="18" t="n">
        <f aca="false">COUNTIF(Responsibilities!$B:$B,A96)</f>
        <v>5</v>
      </c>
    </row>
    <row r="97" customFormat="false" ht="22.35" hidden="false" customHeight="false" outlineLevel="0" collapsed="false">
      <c r="A97" s="16" t="s">
        <v>1112</v>
      </c>
      <c r="B97" s="17" t="s">
        <v>1113</v>
      </c>
      <c r="C97" s="17" t="s">
        <v>405</v>
      </c>
      <c r="D97" s="17" t="s">
        <v>1076</v>
      </c>
      <c r="E97" s="17" t="s">
        <v>1074</v>
      </c>
      <c r="F97" s="17" t="s">
        <v>767</v>
      </c>
      <c r="G97" s="17" t="s">
        <v>1077</v>
      </c>
      <c r="H97" s="17" t="s">
        <v>1114</v>
      </c>
      <c r="I97" s="17" t="s">
        <v>1115</v>
      </c>
      <c r="J97" s="17" t="s">
        <v>1116</v>
      </c>
      <c r="K97" s="17" t="s">
        <v>1117</v>
      </c>
      <c r="L97" s="17" t="s">
        <v>1118</v>
      </c>
      <c r="M97" s="17" t="s">
        <v>492</v>
      </c>
      <c r="N97" s="17" t="s">
        <v>1119</v>
      </c>
      <c r="O97" s="17" t="s">
        <v>51</v>
      </c>
      <c r="P97" s="17" t="s">
        <v>1120</v>
      </c>
      <c r="Q97" s="17" t="s">
        <v>124</v>
      </c>
      <c r="R97" s="17" t="s">
        <v>1121</v>
      </c>
      <c r="S97" s="17" t="s">
        <v>1122</v>
      </c>
      <c r="T97" s="18" t="n">
        <f aca="false">COUNTIF(Responsibilities!$B:$B,A97)</f>
        <v>3</v>
      </c>
    </row>
    <row r="98" customFormat="false" ht="32.8" hidden="false" customHeight="false" outlineLevel="0" collapsed="false">
      <c r="A98" s="16" t="s">
        <v>1123</v>
      </c>
      <c r="B98" s="17" t="s">
        <v>1124</v>
      </c>
      <c r="C98" s="17" t="s">
        <v>405</v>
      </c>
      <c r="D98" s="17" t="s">
        <v>1076</v>
      </c>
      <c r="E98" s="17" t="s">
        <v>1074</v>
      </c>
      <c r="F98" s="17" t="s">
        <v>767</v>
      </c>
      <c r="G98" s="17" t="s">
        <v>1077</v>
      </c>
      <c r="H98" s="17" t="s">
        <v>1125</v>
      </c>
      <c r="I98" s="17" t="s">
        <v>1126</v>
      </c>
      <c r="J98" s="17" t="s">
        <v>1127</v>
      </c>
      <c r="K98" s="17" t="s">
        <v>1128</v>
      </c>
      <c r="L98" s="17" t="s">
        <v>1129</v>
      </c>
      <c r="M98" s="17" t="s">
        <v>492</v>
      </c>
      <c r="N98" s="17" t="s">
        <v>1130</v>
      </c>
      <c r="O98" s="17" t="s">
        <v>1131</v>
      </c>
      <c r="P98" s="17" t="s">
        <v>1132</v>
      </c>
      <c r="Q98" s="17" t="s">
        <v>76</v>
      </c>
      <c r="R98" s="17" t="s">
        <v>1133</v>
      </c>
      <c r="S98" s="17" t="s">
        <v>1134</v>
      </c>
      <c r="T98" s="18" t="n">
        <f aca="false">COUNTIF(Responsibilities!$B:$B,A98)</f>
        <v>10</v>
      </c>
    </row>
    <row r="99" customFormat="false" ht="32.8" hidden="false" customHeight="false" outlineLevel="0" collapsed="false">
      <c r="A99" s="16" t="s">
        <v>1135</v>
      </c>
      <c r="B99" s="17" t="s">
        <v>1136</v>
      </c>
      <c r="C99" s="17" t="s">
        <v>405</v>
      </c>
      <c r="D99" s="17" t="s">
        <v>1076</v>
      </c>
      <c r="E99" s="17" t="s">
        <v>1074</v>
      </c>
      <c r="F99" s="17" t="s">
        <v>767</v>
      </c>
      <c r="G99" s="17" t="s">
        <v>1077</v>
      </c>
      <c r="H99" s="17" t="s">
        <v>1137</v>
      </c>
      <c r="I99" s="17" t="s">
        <v>1138</v>
      </c>
      <c r="J99" s="17" t="s">
        <v>1139</v>
      </c>
      <c r="K99" s="17" t="s">
        <v>1140</v>
      </c>
      <c r="L99" s="17" t="s">
        <v>1141</v>
      </c>
      <c r="M99" s="17" t="s">
        <v>51</v>
      </c>
      <c r="N99" s="17" t="s">
        <v>1142</v>
      </c>
      <c r="O99" s="17" t="s">
        <v>51</v>
      </c>
      <c r="P99" s="17" t="s">
        <v>1143</v>
      </c>
      <c r="Q99" s="17" t="s">
        <v>76</v>
      </c>
      <c r="R99" s="17" t="s">
        <v>1144</v>
      </c>
      <c r="S99" s="17" t="s">
        <v>1145</v>
      </c>
      <c r="T99" s="18" t="n">
        <f aca="false">COUNTIF(Responsibilities!$B:$B,A99)</f>
        <v>5</v>
      </c>
    </row>
    <row r="100" customFormat="false" ht="15" hidden="false" customHeight="false" outlineLevel="0" collapsed="false">
      <c r="A100" s="16" t="s">
        <v>1146</v>
      </c>
      <c r="B100" s="17" t="s">
        <v>1147</v>
      </c>
      <c r="C100" s="17" t="s">
        <v>405</v>
      </c>
      <c r="D100" s="17" t="s">
        <v>1076</v>
      </c>
      <c r="E100" s="17" t="s">
        <v>1074</v>
      </c>
      <c r="F100" s="17" t="s">
        <v>767</v>
      </c>
      <c r="G100" s="17" t="s">
        <v>1077</v>
      </c>
      <c r="H100" s="17" t="s">
        <v>1148</v>
      </c>
      <c r="I100" s="17" t="s">
        <v>1149</v>
      </c>
      <c r="J100" s="17" t="s">
        <v>1150</v>
      </c>
      <c r="K100" s="17" t="s">
        <v>1151</v>
      </c>
      <c r="L100" s="17" t="s">
        <v>1152</v>
      </c>
      <c r="M100" s="17" t="s">
        <v>51</v>
      </c>
      <c r="N100" s="17" t="s">
        <v>1153</v>
      </c>
      <c r="O100" s="17" t="s">
        <v>51</v>
      </c>
      <c r="P100" s="17" t="s">
        <v>1154</v>
      </c>
      <c r="Q100" s="17" t="s">
        <v>76</v>
      </c>
      <c r="R100" s="17" t="s">
        <v>1155</v>
      </c>
      <c r="S100" s="17" t="s">
        <v>1156</v>
      </c>
      <c r="T100" s="18" t="n">
        <f aca="false">COUNTIF(Responsibilities!$B:$B,A100)</f>
        <v>2</v>
      </c>
    </row>
    <row r="101" customFormat="false" ht="22.35" hidden="false" customHeight="false" outlineLevel="0" collapsed="false">
      <c r="A101" s="16" t="s">
        <v>1157</v>
      </c>
      <c r="B101" s="17" t="s">
        <v>1158</v>
      </c>
      <c r="C101" s="17" t="s">
        <v>405</v>
      </c>
      <c r="D101" s="17" t="s">
        <v>1076</v>
      </c>
      <c r="E101" s="17" t="s">
        <v>1074</v>
      </c>
      <c r="F101" s="17" t="s">
        <v>767</v>
      </c>
      <c r="G101" s="17" t="s">
        <v>1077</v>
      </c>
      <c r="H101" s="17" t="s">
        <v>1159</v>
      </c>
      <c r="I101" s="17" t="s">
        <v>1160</v>
      </c>
      <c r="J101" s="17" t="s">
        <v>1161</v>
      </c>
      <c r="K101" s="17" t="s">
        <v>1162</v>
      </c>
      <c r="L101" s="17" t="s">
        <v>1163</v>
      </c>
      <c r="M101" s="17" t="s">
        <v>492</v>
      </c>
      <c r="N101" s="17" t="s">
        <v>1164</v>
      </c>
      <c r="O101" s="17" t="s">
        <v>1165</v>
      </c>
      <c r="P101" s="17" t="s">
        <v>1166</v>
      </c>
      <c r="Q101" s="17" t="s">
        <v>124</v>
      </c>
      <c r="R101" s="17" t="s">
        <v>1167</v>
      </c>
      <c r="S101" s="17" t="s">
        <v>1168</v>
      </c>
      <c r="T101" s="18" t="n">
        <f aca="false">COUNTIF(Responsibilities!$B:$B,A101)</f>
        <v>3</v>
      </c>
    </row>
    <row r="102" customFormat="false" ht="32.8" hidden="false" customHeight="false" outlineLevel="0" collapsed="false">
      <c r="A102" s="16" t="s">
        <v>1169</v>
      </c>
      <c r="B102" s="17" t="s">
        <v>1170</v>
      </c>
      <c r="C102" s="17" t="s">
        <v>405</v>
      </c>
      <c r="D102" s="17" t="s">
        <v>1076</v>
      </c>
      <c r="E102" s="17" t="s">
        <v>1074</v>
      </c>
      <c r="F102" s="17" t="s">
        <v>767</v>
      </c>
      <c r="G102" s="17" t="s">
        <v>1077</v>
      </c>
      <c r="H102" s="17" t="s">
        <v>1171</v>
      </c>
      <c r="I102" s="17" t="s">
        <v>1172</v>
      </c>
      <c r="J102" s="17" t="s">
        <v>1173</v>
      </c>
      <c r="K102" s="17" t="s">
        <v>1174</v>
      </c>
      <c r="L102" s="17" t="s">
        <v>1175</v>
      </c>
      <c r="M102" s="17" t="s">
        <v>572</v>
      </c>
      <c r="N102" s="17" t="s">
        <v>1176</v>
      </c>
      <c r="O102" s="17" t="s">
        <v>1177</v>
      </c>
      <c r="P102" s="17" t="s">
        <v>1178</v>
      </c>
      <c r="Q102" s="17" t="s">
        <v>124</v>
      </c>
      <c r="R102" s="17" t="s">
        <v>1179</v>
      </c>
      <c r="S102" s="17" t="s">
        <v>1180</v>
      </c>
      <c r="T102" s="18" t="n">
        <f aca="false">COUNTIF(Responsibilities!$B:$B,A102)</f>
        <v>6</v>
      </c>
    </row>
    <row r="103" customFormat="false" ht="22.35" hidden="false" customHeight="false" outlineLevel="0" collapsed="false">
      <c r="A103" s="16" t="s">
        <v>1181</v>
      </c>
      <c r="B103" s="17" t="s">
        <v>1182</v>
      </c>
      <c r="C103" s="17" t="s">
        <v>405</v>
      </c>
      <c r="D103" s="17" t="s">
        <v>1076</v>
      </c>
      <c r="E103" s="17" t="s">
        <v>1074</v>
      </c>
      <c r="F103" s="17" t="s">
        <v>767</v>
      </c>
      <c r="G103" s="17" t="s">
        <v>1077</v>
      </c>
      <c r="H103" s="17" t="s">
        <v>1183</v>
      </c>
      <c r="I103" s="17" t="s">
        <v>1184</v>
      </c>
      <c r="J103" s="17" t="s">
        <v>1185</v>
      </c>
      <c r="K103" s="17" t="s">
        <v>1186</v>
      </c>
      <c r="L103" s="17" t="s">
        <v>1187</v>
      </c>
      <c r="M103" s="17" t="s">
        <v>723</v>
      </c>
      <c r="N103" s="17" t="s">
        <v>1188</v>
      </c>
      <c r="O103" s="17" t="s">
        <v>51</v>
      </c>
      <c r="P103" s="17" t="s">
        <v>1189</v>
      </c>
      <c r="Q103" s="17" t="s">
        <v>124</v>
      </c>
      <c r="R103" s="17" t="s">
        <v>1144</v>
      </c>
      <c r="S103" s="17" t="s">
        <v>1190</v>
      </c>
      <c r="T103" s="18" t="n">
        <f aca="false">COUNTIF(Responsibilities!$B:$B,A103)</f>
        <v>3</v>
      </c>
    </row>
    <row r="104" customFormat="false" ht="32.8" hidden="false" customHeight="false" outlineLevel="0" collapsed="false">
      <c r="A104" s="16" t="s">
        <v>1191</v>
      </c>
      <c r="B104" s="17" t="s">
        <v>1192</v>
      </c>
      <c r="C104" s="17" t="s">
        <v>405</v>
      </c>
      <c r="D104" s="17" t="s">
        <v>1076</v>
      </c>
      <c r="E104" s="17" t="s">
        <v>1074</v>
      </c>
      <c r="F104" s="17" t="s">
        <v>767</v>
      </c>
      <c r="G104" s="17" t="s">
        <v>1077</v>
      </c>
      <c r="H104" s="17" t="s">
        <v>1193</v>
      </c>
      <c r="I104" s="17" t="s">
        <v>1194</v>
      </c>
      <c r="J104" s="17" t="s">
        <v>1195</v>
      </c>
      <c r="K104" s="17" t="s">
        <v>1196</v>
      </c>
      <c r="L104" s="17" t="s">
        <v>1197</v>
      </c>
      <c r="M104" s="17" t="s">
        <v>51</v>
      </c>
      <c r="N104" s="17" t="s">
        <v>1198</v>
      </c>
      <c r="O104" s="17" t="s">
        <v>51</v>
      </c>
      <c r="P104" s="17" t="s">
        <v>1199</v>
      </c>
      <c r="Q104" s="17" t="s">
        <v>124</v>
      </c>
      <c r="R104" s="17" t="s">
        <v>1200</v>
      </c>
      <c r="S104" s="17" t="s">
        <v>1201</v>
      </c>
      <c r="T104" s="18" t="n">
        <f aca="false">COUNTIF(Responsibilities!$B:$B,A104)</f>
        <v>12</v>
      </c>
    </row>
    <row r="105" customFormat="false" ht="43.25" hidden="false" customHeight="false" outlineLevel="0" collapsed="false">
      <c r="A105" s="13" t="s">
        <v>1202</v>
      </c>
      <c r="B105" s="14" t="s">
        <v>1203</v>
      </c>
      <c r="C105" s="14" t="s">
        <v>390</v>
      </c>
      <c r="D105" s="14" t="s">
        <v>1204</v>
      </c>
      <c r="E105" s="14" t="s">
        <v>187</v>
      </c>
      <c r="F105" s="14" t="s">
        <v>154</v>
      </c>
      <c r="G105" s="14" t="s">
        <v>1205</v>
      </c>
      <c r="H105" s="14" t="s">
        <v>1206</v>
      </c>
      <c r="I105" s="14" t="s">
        <v>1207</v>
      </c>
      <c r="J105" s="14" t="s">
        <v>395</v>
      </c>
      <c r="K105" s="14" t="s">
        <v>396</v>
      </c>
      <c r="L105" s="14" t="s">
        <v>397</v>
      </c>
      <c r="M105" s="14" t="s">
        <v>51</v>
      </c>
      <c r="N105" s="14" t="s">
        <v>1208</v>
      </c>
      <c r="O105" s="14" t="s">
        <v>399</v>
      </c>
      <c r="P105" s="14" t="s">
        <v>400</v>
      </c>
      <c r="Q105" s="14" t="s">
        <v>124</v>
      </c>
      <c r="R105" s="14" t="s">
        <v>1209</v>
      </c>
      <c r="S105" s="14" t="s">
        <v>402</v>
      </c>
      <c r="T105" s="15" t="n">
        <f aca="false">COUNTIF(Responsibilities!$B:$B,A105)</f>
        <v>3</v>
      </c>
    </row>
    <row r="106" customFormat="false" ht="22.35" hidden="false" customHeight="false" outlineLevel="0" collapsed="false">
      <c r="A106" s="16" t="s">
        <v>1210</v>
      </c>
      <c r="B106" s="17" t="s">
        <v>1211</v>
      </c>
      <c r="C106" s="17" t="s">
        <v>405</v>
      </c>
      <c r="D106" s="17" t="s">
        <v>1204</v>
      </c>
      <c r="E106" s="17" t="s">
        <v>1202</v>
      </c>
      <c r="F106" s="17" t="s">
        <v>154</v>
      </c>
      <c r="G106" s="17" t="s">
        <v>1205</v>
      </c>
      <c r="H106" s="17" t="s">
        <v>1212</v>
      </c>
      <c r="I106" s="17" t="s">
        <v>1213</v>
      </c>
      <c r="J106" s="17" t="s">
        <v>1214</v>
      </c>
      <c r="K106" s="17" t="s">
        <v>1215</v>
      </c>
      <c r="L106" s="17" t="s">
        <v>1216</v>
      </c>
      <c r="M106" s="17" t="s">
        <v>51</v>
      </c>
      <c r="N106" s="17" t="s">
        <v>1217</v>
      </c>
      <c r="O106" s="17" t="s">
        <v>1218</v>
      </c>
      <c r="P106" s="17" t="s">
        <v>1219</v>
      </c>
      <c r="Q106" s="17" t="s">
        <v>124</v>
      </c>
      <c r="R106" s="17" t="s">
        <v>1220</v>
      </c>
      <c r="S106" s="17" t="s">
        <v>1221</v>
      </c>
      <c r="T106" s="18" t="n">
        <f aca="false">COUNTIF(Responsibilities!$B:$B,A106)</f>
        <v>13</v>
      </c>
    </row>
    <row r="107" customFormat="false" ht="22.35" hidden="false" customHeight="false" outlineLevel="0" collapsed="false">
      <c r="A107" s="16" t="s">
        <v>1222</v>
      </c>
      <c r="B107" s="17" t="s">
        <v>1223</v>
      </c>
      <c r="C107" s="17" t="s">
        <v>405</v>
      </c>
      <c r="D107" s="17" t="s">
        <v>1204</v>
      </c>
      <c r="E107" s="17" t="s">
        <v>1202</v>
      </c>
      <c r="F107" s="17" t="s">
        <v>154</v>
      </c>
      <c r="G107" s="17" t="s">
        <v>1205</v>
      </c>
      <c r="H107" s="17" t="s">
        <v>1224</v>
      </c>
      <c r="I107" s="17" t="s">
        <v>1225</v>
      </c>
      <c r="J107" s="17" t="s">
        <v>1226</v>
      </c>
      <c r="K107" s="17" t="s">
        <v>1227</v>
      </c>
      <c r="L107" s="17" t="s">
        <v>534</v>
      </c>
      <c r="M107" s="17" t="s">
        <v>723</v>
      </c>
      <c r="N107" s="17" t="s">
        <v>1228</v>
      </c>
      <c r="O107" s="17" t="s">
        <v>1229</v>
      </c>
      <c r="P107" s="17" t="s">
        <v>1230</v>
      </c>
      <c r="Q107" s="17" t="s">
        <v>124</v>
      </c>
      <c r="R107" s="17" t="s">
        <v>1231</v>
      </c>
      <c r="S107" s="17" t="s">
        <v>1232</v>
      </c>
      <c r="T107" s="18" t="n">
        <f aca="false">COUNTIF(Responsibilities!$B:$B,A107)</f>
        <v>3</v>
      </c>
    </row>
    <row r="108" customFormat="false" ht="22.35" hidden="false" customHeight="false" outlineLevel="0" collapsed="false">
      <c r="A108" s="16" t="s">
        <v>1233</v>
      </c>
      <c r="B108" s="17" t="s">
        <v>1234</v>
      </c>
      <c r="C108" s="17" t="s">
        <v>405</v>
      </c>
      <c r="D108" s="17" t="s">
        <v>1204</v>
      </c>
      <c r="E108" s="17" t="s">
        <v>1202</v>
      </c>
      <c r="F108" s="17" t="s">
        <v>154</v>
      </c>
      <c r="G108" s="17" t="s">
        <v>1205</v>
      </c>
      <c r="H108" s="17" t="s">
        <v>1235</v>
      </c>
      <c r="I108" s="17" t="s">
        <v>1236</v>
      </c>
      <c r="J108" s="17" t="s">
        <v>1237</v>
      </c>
      <c r="K108" s="17" t="s">
        <v>1238</v>
      </c>
      <c r="L108" s="17" t="s">
        <v>1239</v>
      </c>
      <c r="M108" s="17" t="s">
        <v>51</v>
      </c>
      <c r="N108" s="17" t="s">
        <v>1240</v>
      </c>
      <c r="O108" s="17" t="s">
        <v>51</v>
      </c>
      <c r="P108" s="17" t="s">
        <v>1241</v>
      </c>
      <c r="Q108" s="17" t="s">
        <v>76</v>
      </c>
      <c r="R108" s="17" t="s">
        <v>1242</v>
      </c>
      <c r="S108" s="17" t="s">
        <v>1243</v>
      </c>
      <c r="T108" s="18" t="n">
        <f aca="false">COUNTIF(Responsibilities!$B:$B,A108)</f>
        <v>3</v>
      </c>
    </row>
    <row r="109" customFormat="false" ht="32.8" hidden="false" customHeight="false" outlineLevel="0" collapsed="false">
      <c r="A109" s="16" t="s">
        <v>1244</v>
      </c>
      <c r="B109" s="17" t="s">
        <v>1245</v>
      </c>
      <c r="C109" s="17" t="s">
        <v>405</v>
      </c>
      <c r="D109" s="17" t="s">
        <v>1204</v>
      </c>
      <c r="E109" s="17" t="s">
        <v>1202</v>
      </c>
      <c r="F109" s="17" t="s">
        <v>154</v>
      </c>
      <c r="G109" s="17" t="s">
        <v>1205</v>
      </c>
      <c r="H109" s="17" t="s">
        <v>1246</v>
      </c>
      <c r="I109" s="17" t="s">
        <v>1247</v>
      </c>
      <c r="J109" s="17" t="s">
        <v>1248</v>
      </c>
      <c r="K109" s="17" t="s">
        <v>1249</v>
      </c>
      <c r="L109" s="17" t="s">
        <v>1250</v>
      </c>
      <c r="M109" s="17" t="s">
        <v>51</v>
      </c>
      <c r="N109" s="17" t="s">
        <v>1251</v>
      </c>
      <c r="O109" s="17" t="s">
        <v>1252</v>
      </c>
      <c r="P109" s="17" t="s">
        <v>1253</v>
      </c>
      <c r="Q109" s="17" t="s">
        <v>124</v>
      </c>
      <c r="R109" s="17" t="s">
        <v>1254</v>
      </c>
      <c r="S109" s="17" t="s">
        <v>1255</v>
      </c>
      <c r="T109" s="18" t="n">
        <f aca="false">COUNTIF(Responsibilities!$B:$B,A109)</f>
        <v>10</v>
      </c>
    </row>
    <row r="110" customFormat="false" ht="22.35" hidden="false" customHeight="false" outlineLevel="0" collapsed="false">
      <c r="A110" s="16" t="s">
        <v>1256</v>
      </c>
      <c r="B110" s="17" t="s">
        <v>1257</v>
      </c>
      <c r="C110" s="17" t="s">
        <v>405</v>
      </c>
      <c r="D110" s="17" t="s">
        <v>1204</v>
      </c>
      <c r="E110" s="17" t="s">
        <v>1202</v>
      </c>
      <c r="F110" s="17" t="s">
        <v>154</v>
      </c>
      <c r="G110" s="17" t="s">
        <v>1205</v>
      </c>
      <c r="H110" s="17" t="s">
        <v>1258</v>
      </c>
      <c r="I110" s="17" t="s">
        <v>1259</v>
      </c>
      <c r="J110" s="17" t="s">
        <v>1260</v>
      </c>
      <c r="K110" s="17" t="s">
        <v>1261</v>
      </c>
      <c r="L110" s="17" t="s">
        <v>1262</v>
      </c>
      <c r="M110" s="17" t="s">
        <v>936</v>
      </c>
      <c r="N110" s="17" t="s">
        <v>1263</v>
      </c>
      <c r="O110" s="17" t="s">
        <v>51</v>
      </c>
      <c r="P110" s="17" t="s">
        <v>1264</v>
      </c>
      <c r="Q110" s="17" t="s">
        <v>124</v>
      </c>
      <c r="R110" s="17" t="s">
        <v>1265</v>
      </c>
      <c r="S110" s="17" t="s">
        <v>1266</v>
      </c>
      <c r="T110" s="18" t="n">
        <f aca="false">COUNTIF(Responsibilities!$B:$B,A110)</f>
        <v>13</v>
      </c>
    </row>
    <row r="111" customFormat="false" ht="22.35" hidden="false" customHeight="false" outlineLevel="0" collapsed="false">
      <c r="A111" s="16" t="s">
        <v>1267</v>
      </c>
      <c r="B111" s="17" t="s">
        <v>1268</v>
      </c>
      <c r="C111" s="17" t="s">
        <v>405</v>
      </c>
      <c r="D111" s="17" t="s">
        <v>1204</v>
      </c>
      <c r="E111" s="17" t="s">
        <v>1202</v>
      </c>
      <c r="F111" s="17" t="s">
        <v>154</v>
      </c>
      <c r="G111" s="17" t="s">
        <v>1205</v>
      </c>
      <c r="H111" s="17" t="s">
        <v>1269</v>
      </c>
      <c r="I111" s="17" t="s">
        <v>1270</v>
      </c>
      <c r="J111" s="17" t="s">
        <v>1271</v>
      </c>
      <c r="K111" s="17" t="s">
        <v>1272</v>
      </c>
      <c r="L111" s="17" t="s">
        <v>1273</v>
      </c>
      <c r="M111" s="17" t="s">
        <v>51</v>
      </c>
      <c r="N111" s="17" t="s">
        <v>1274</v>
      </c>
      <c r="O111" s="17" t="s">
        <v>1275</v>
      </c>
      <c r="P111" s="17" t="s">
        <v>1276</v>
      </c>
      <c r="Q111" s="17" t="s">
        <v>124</v>
      </c>
      <c r="R111" s="17" t="s">
        <v>1277</v>
      </c>
      <c r="S111" s="17" t="s">
        <v>1278</v>
      </c>
      <c r="T111" s="18" t="n">
        <f aca="false">COUNTIF(Responsibilities!$B:$B,A111)</f>
        <v>18</v>
      </c>
    </row>
    <row r="112" customFormat="false" ht="22.35" hidden="false" customHeight="false" outlineLevel="0" collapsed="false">
      <c r="A112" s="16" t="s">
        <v>1279</v>
      </c>
      <c r="B112" s="17" t="s">
        <v>1280</v>
      </c>
      <c r="C112" s="17" t="s">
        <v>405</v>
      </c>
      <c r="D112" s="17" t="s">
        <v>1204</v>
      </c>
      <c r="E112" s="17" t="s">
        <v>1202</v>
      </c>
      <c r="F112" s="17" t="s">
        <v>154</v>
      </c>
      <c r="G112" s="17" t="s">
        <v>1205</v>
      </c>
      <c r="H112" s="17" t="s">
        <v>1281</v>
      </c>
      <c r="I112" s="17" t="s">
        <v>1282</v>
      </c>
      <c r="J112" s="17" t="s">
        <v>1283</v>
      </c>
      <c r="K112" s="17" t="s">
        <v>1284</v>
      </c>
      <c r="L112" s="17" t="s">
        <v>1285</v>
      </c>
      <c r="M112" s="17" t="s">
        <v>51</v>
      </c>
      <c r="N112" s="17" t="s">
        <v>1286</v>
      </c>
      <c r="O112" s="17" t="s">
        <v>51</v>
      </c>
      <c r="P112" s="17" t="s">
        <v>1287</v>
      </c>
      <c r="Q112" s="17" t="s">
        <v>76</v>
      </c>
      <c r="R112" s="17" t="s">
        <v>1288</v>
      </c>
      <c r="S112" s="17" t="s">
        <v>1289</v>
      </c>
      <c r="T112" s="18" t="n">
        <f aca="false">COUNTIF(Responsibilities!$B:$B,A112)</f>
        <v>2</v>
      </c>
    </row>
    <row r="113" customFormat="false" ht="22.35" hidden="false" customHeight="false" outlineLevel="0" collapsed="false">
      <c r="A113" s="16" t="s">
        <v>1290</v>
      </c>
      <c r="B113" s="17" t="s">
        <v>1291</v>
      </c>
      <c r="C113" s="17" t="s">
        <v>405</v>
      </c>
      <c r="D113" s="17" t="s">
        <v>1204</v>
      </c>
      <c r="E113" s="17" t="s">
        <v>1202</v>
      </c>
      <c r="F113" s="17" t="s">
        <v>154</v>
      </c>
      <c r="G113" s="17" t="s">
        <v>1205</v>
      </c>
      <c r="H113" s="17" t="s">
        <v>1292</v>
      </c>
      <c r="I113" s="17" t="s">
        <v>1293</v>
      </c>
      <c r="J113" s="17" t="s">
        <v>1294</v>
      </c>
      <c r="K113" s="17" t="s">
        <v>1295</v>
      </c>
      <c r="L113" s="17" t="s">
        <v>1296</v>
      </c>
      <c r="M113" s="17" t="s">
        <v>51</v>
      </c>
      <c r="N113" s="17" t="s">
        <v>1297</v>
      </c>
      <c r="O113" s="17" t="s">
        <v>51</v>
      </c>
      <c r="P113" s="17" t="s">
        <v>1298</v>
      </c>
      <c r="Q113" s="17" t="s">
        <v>76</v>
      </c>
      <c r="R113" s="17" t="s">
        <v>1299</v>
      </c>
      <c r="S113" s="17" t="s">
        <v>1300</v>
      </c>
      <c r="T113" s="18" t="n">
        <f aca="false">COUNTIF(Responsibilities!$B:$B,A113)</f>
        <v>8</v>
      </c>
    </row>
  </sheetData>
  <autoFilter ref="A1:T1"/>
  <conditionalFormatting sqref="T2:T113">
    <cfRule type="cellIs" priority="2" operator="equal"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8"/>
    <col collapsed="false" customWidth="true" hidden="false" outlineLevel="0" max="4" min="4" style="0" width="18"/>
    <col collapsed="false" customWidth="true" hidden="false" outlineLevel="0" max="5" min="5" style="0" width="26"/>
    <col collapsed="false" customWidth="true" hidden="false" outlineLevel="0" max="6" min="6" style="0" width="80"/>
    <col collapsed="false" customWidth="true" hidden="false" outlineLevel="0" max="7" min="7" style="0" width="18"/>
    <col collapsed="false" customWidth="true" hidden="false" outlineLevel="0" max="8" min="8" style="0" width="30"/>
    <col collapsed="false" customWidth="true" hidden="false" outlineLevel="0" max="9" min="9" style="0" width="14"/>
    <col collapsed="false" customWidth="true" hidden="false" outlineLevel="0" max="10" min="10" style="0" width="18"/>
    <col collapsed="false" customWidth="true" hidden="false" outlineLevel="0" max="11" min="11" style="0" width="22"/>
    <col collapsed="false" customWidth="true" hidden="false" outlineLevel="0" max="12" min="12" style="0" width="24"/>
    <col collapsed="false" customWidth="true" hidden="false" outlineLevel="0" max="14" min="13" style="0" width="16"/>
    <col collapsed="false" customWidth="true" hidden="false" outlineLevel="0" max="15" min="15" style="0" width="18"/>
  </cols>
  <sheetData>
    <row r="1" customFormat="false" ht="23.85" hidden="false" customHeight="false" outlineLevel="0" collapsed="false">
      <c r="A1" s="6" t="s">
        <v>1301</v>
      </c>
      <c r="B1" s="6" t="s">
        <v>27</v>
      </c>
      <c r="C1" s="6" t="s">
        <v>28</v>
      </c>
      <c r="D1" s="6" t="s">
        <v>1302</v>
      </c>
      <c r="E1" s="6" t="s">
        <v>1303</v>
      </c>
      <c r="F1" s="6" t="s">
        <v>1304</v>
      </c>
      <c r="G1" s="6" t="s">
        <v>1305</v>
      </c>
      <c r="H1" s="6" t="s">
        <v>1306</v>
      </c>
      <c r="I1" s="6" t="s">
        <v>1307</v>
      </c>
      <c r="J1" s="6" t="s">
        <v>1308</v>
      </c>
      <c r="K1" s="6" t="s">
        <v>1309</v>
      </c>
      <c r="L1" s="6" t="s">
        <v>1310</v>
      </c>
      <c r="M1" s="6" t="s">
        <v>1311</v>
      </c>
      <c r="N1" s="6" t="s">
        <v>41</v>
      </c>
      <c r="O1" s="6" t="s">
        <v>3</v>
      </c>
    </row>
    <row r="2" customFormat="false" ht="22.35" hidden="false" customHeight="false" outlineLevel="0" collapsed="false">
      <c r="A2" s="19" t="s">
        <v>1312</v>
      </c>
      <c r="B2" s="19" t="s">
        <v>153</v>
      </c>
      <c r="C2" s="19" t="str">
        <f aca="false">IFERROR(INDEX('Agent Roster'!$B:$B,MATCH(B2,'Agent Roster'!$A:$A,0)),"UNASSIGNED")</f>
        <v>Algorithm Router (Master Meta-Algorithm)</v>
      </c>
      <c r="D2" s="19" t="str">
        <f aca="false">IFERROR(INDEX('Agent Roster'!$D:$D,MATCH(B2,'Agent Roster'!$A:$A,0)),"UNASSIGNED")</f>
        <v>Orchestration &amp; Diagnostics</v>
      </c>
      <c r="E2" s="19" t="s">
        <v>1313</v>
      </c>
      <c r="F2" s="19" t="s">
        <v>1314</v>
      </c>
      <c r="G2" s="19" t="s">
        <v>1315</v>
      </c>
      <c r="H2" s="19" t="s">
        <v>1316</v>
      </c>
      <c r="I2" s="19" t="s">
        <v>1317</v>
      </c>
      <c r="J2" s="19" t="s">
        <v>1318</v>
      </c>
      <c r="K2" s="19" t="s">
        <v>1319</v>
      </c>
      <c r="L2" s="19" t="s">
        <v>1320</v>
      </c>
      <c r="M2" s="19" t="s">
        <v>153</v>
      </c>
      <c r="N2" s="19"/>
      <c r="O2" s="19" t="s">
        <v>1321</v>
      </c>
    </row>
    <row r="3" customFormat="false" ht="32.8" hidden="false" customHeight="false" outlineLevel="0" collapsed="false">
      <c r="A3" s="19" t="s">
        <v>1322</v>
      </c>
      <c r="B3" s="19" t="s">
        <v>153</v>
      </c>
      <c r="C3" s="19" t="str">
        <f aca="false">IFERROR(INDEX('Agent Roster'!$B:$B,MATCH(B3,'Agent Roster'!$A:$A,0)),"UNASSIGNED")</f>
        <v>Algorithm Router (Master Meta-Algorithm)</v>
      </c>
      <c r="D3" s="19" t="str">
        <f aca="false">IFERROR(INDEX('Agent Roster'!$D:$D,MATCH(B3,'Agent Roster'!$A:$A,0)),"UNASSIGNED")</f>
        <v>Orchestration &amp; Diagnostics</v>
      </c>
      <c r="E3" s="19" t="s">
        <v>1313</v>
      </c>
      <c r="F3" s="19" t="s">
        <v>1323</v>
      </c>
      <c r="G3" s="19" t="s">
        <v>1315</v>
      </c>
      <c r="H3" s="19" t="s">
        <v>1316</v>
      </c>
      <c r="I3" s="19" t="s">
        <v>1324</v>
      </c>
      <c r="J3" s="19" t="s">
        <v>1318</v>
      </c>
      <c r="K3" s="19" t="s">
        <v>1325</v>
      </c>
      <c r="L3" s="19" t="s">
        <v>1326</v>
      </c>
      <c r="M3" s="19" t="s">
        <v>153</v>
      </c>
      <c r="N3" s="19"/>
      <c r="O3" s="19" t="s">
        <v>1321</v>
      </c>
    </row>
    <row r="4" customFormat="false" ht="22.35" hidden="false" customHeight="false" outlineLevel="0" collapsed="false">
      <c r="A4" s="19" t="s">
        <v>1327</v>
      </c>
      <c r="B4" s="19" t="s">
        <v>153</v>
      </c>
      <c r="C4" s="19" t="str">
        <f aca="false">IFERROR(INDEX('Agent Roster'!$B:$B,MATCH(B4,'Agent Roster'!$A:$A,0)),"UNASSIGNED")</f>
        <v>Algorithm Router (Master Meta-Algorithm)</v>
      </c>
      <c r="D4" s="19" t="str">
        <f aca="false">IFERROR(INDEX('Agent Roster'!$D:$D,MATCH(B4,'Agent Roster'!$A:$A,0)),"UNASSIGNED")</f>
        <v>Orchestration &amp; Diagnostics</v>
      </c>
      <c r="E4" s="19" t="s">
        <v>1313</v>
      </c>
      <c r="F4" s="19" t="s">
        <v>1328</v>
      </c>
      <c r="G4" s="19" t="s">
        <v>1315</v>
      </c>
      <c r="H4" s="19" t="s">
        <v>1316</v>
      </c>
      <c r="I4" s="19" t="s">
        <v>1329</v>
      </c>
      <c r="J4" s="19" t="s">
        <v>1318</v>
      </c>
      <c r="K4" s="19" t="s">
        <v>1330</v>
      </c>
      <c r="L4" s="19" t="s">
        <v>1331</v>
      </c>
      <c r="M4" s="19" t="s">
        <v>153</v>
      </c>
      <c r="N4" s="19"/>
      <c r="O4" s="19" t="s">
        <v>1321</v>
      </c>
    </row>
    <row r="5" customFormat="false" ht="22.35" hidden="false" customHeight="false" outlineLevel="0" collapsed="false">
      <c r="A5" s="19" t="s">
        <v>1332</v>
      </c>
      <c r="B5" s="19" t="s">
        <v>153</v>
      </c>
      <c r="C5" s="19" t="str">
        <f aca="false">IFERROR(INDEX('Agent Roster'!$B:$B,MATCH(B5,'Agent Roster'!$A:$A,0)),"UNASSIGNED")</f>
        <v>Algorithm Router (Master Meta-Algorithm)</v>
      </c>
      <c r="D5" s="19" t="str">
        <f aca="false">IFERROR(INDEX('Agent Roster'!$D:$D,MATCH(B5,'Agent Roster'!$A:$A,0)),"UNASSIGNED")</f>
        <v>Orchestration &amp; Diagnostics</v>
      </c>
      <c r="E5" s="19" t="s">
        <v>1313</v>
      </c>
      <c r="F5" s="19" t="s">
        <v>1333</v>
      </c>
      <c r="G5" s="19" t="s">
        <v>1315</v>
      </c>
      <c r="H5" s="19" t="s">
        <v>1316</v>
      </c>
      <c r="I5" s="19" t="s">
        <v>1334</v>
      </c>
      <c r="J5" s="19" t="s">
        <v>1318</v>
      </c>
      <c r="K5" s="19" t="s">
        <v>1335</v>
      </c>
      <c r="L5" s="19" t="s">
        <v>1336</v>
      </c>
      <c r="M5" s="19" t="s">
        <v>153</v>
      </c>
      <c r="N5" s="19"/>
      <c r="O5" s="19" t="s">
        <v>1321</v>
      </c>
    </row>
    <row r="6" customFormat="false" ht="32.8" hidden="false" customHeight="false" outlineLevel="0" collapsed="false">
      <c r="A6" s="19" t="s">
        <v>1337</v>
      </c>
      <c r="B6" s="19" t="s">
        <v>153</v>
      </c>
      <c r="C6" s="19" t="str">
        <f aca="false">IFERROR(INDEX('Agent Roster'!$B:$B,MATCH(B6,'Agent Roster'!$A:$A,0)),"UNASSIGNED")</f>
        <v>Algorithm Router (Master Meta-Algorithm)</v>
      </c>
      <c r="D6" s="19" t="str">
        <f aca="false">IFERROR(INDEX('Agent Roster'!$D:$D,MATCH(B6,'Agent Roster'!$A:$A,0)),"UNASSIGNED")</f>
        <v>Orchestration &amp; Diagnostics</v>
      </c>
      <c r="E6" s="19" t="s">
        <v>1313</v>
      </c>
      <c r="F6" s="19" t="s">
        <v>1338</v>
      </c>
      <c r="G6" s="19" t="s">
        <v>1315</v>
      </c>
      <c r="H6" s="19" t="s">
        <v>1316</v>
      </c>
      <c r="I6" s="19" t="s">
        <v>1339</v>
      </c>
      <c r="J6" s="19" t="s">
        <v>1318</v>
      </c>
      <c r="K6" s="19" t="s">
        <v>1340</v>
      </c>
      <c r="L6" s="19" t="s">
        <v>1341</v>
      </c>
      <c r="M6" s="19" t="s">
        <v>153</v>
      </c>
      <c r="N6" s="19"/>
      <c r="O6" s="19" t="s">
        <v>1321</v>
      </c>
    </row>
    <row r="7" customFormat="false" ht="32.8" hidden="false" customHeight="false" outlineLevel="0" collapsed="false">
      <c r="A7" s="19" t="s">
        <v>1342</v>
      </c>
      <c r="B7" s="19" t="s">
        <v>153</v>
      </c>
      <c r="C7" s="19" t="str">
        <f aca="false">IFERROR(INDEX('Agent Roster'!$B:$B,MATCH(B7,'Agent Roster'!$A:$A,0)),"UNASSIGNED")</f>
        <v>Algorithm Router (Master Meta-Algorithm)</v>
      </c>
      <c r="D7" s="19" t="str">
        <f aca="false">IFERROR(INDEX('Agent Roster'!$D:$D,MATCH(B7,'Agent Roster'!$A:$A,0)),"UNASSIGNED")</f>
        <v>Orchestration &amp; Diagnostics</v>
      </c>
      <c r="E7" s="19" t="s">
        <v>1313</v>
      </c>
      <c r="F7" s="19" t="s">
        <v>1343</v>
      </c>
      <c r="G7" s="19" t="s">
        <v>1315</v>
      </c>
      <c r="H7" s="19" t="s">
        <v>1316</v>
      </c>
      <c r="I7" s="19" t="s">
        <v>1344</v>
      </c>
      <c r="J7" s="19" t="s">
        <v>1318</v>
      </c>
      <c r="K7" s="19" t="s">
        <v>1345</v>
      </c>
      <c r="L7" s="19" t="s">
        <v>1346</v>
      </c>
      <c r="M7" s="19" t="s">
        <v>153</v>
      </c>
      <c r="N7" s="19"/>
      <c r="O7" s="19" t="s">
        <v>1321</v>
      </c>
    </row>
    <row r="8" customFormat="false" ht="32.8" hidden="false" customHeight="false" outlineLevel="0" collapsed="false">
      <c r="A8" s="19" t="s">
        <v>1347</v>
      </c>
      <c r="B8" s="19" t="s">
        <v>153</v>
      </c>
      <c r="C8" s="19" t="str">
        <f aca="false">IFERROR(INDEX('Agent Roster'!$B:$B,MATCH(B8,'Agent Roster'!$A:$A,0)),"UNASSIGNED")</f>
        <v>Algorithm Router (Master Meta-Algorithm)</v>
      </c>
      <c r="D8" s="19" t="str">
        <f aca="false">IFERROR(INDEX('Agent Roster'!$D:$D,MATCH(B8,'Agent Roster'!$A:$A,0)),"UNASSIGNED")</f>
        <v>Orchestration &amp; Diagnostics</v>
      </c>
      <c r="E8" s="19" t="s">
        <v>1313</v>
      </c>
      <c r="F8" s="19" t="s">
        <v>1348</v>
      </c>
      <c r="G8" s="19" t="s">
        <v>1315</v>
      </c>
      <c r="H8" s="19" t="s">
        <v>1316</v>
      </c>
      <c r="I8" s="19" t="s">
        <v>1349</v>
      </c>
      <c r="J8" s="19" t="s">
        <v>1318</v>
      </c>
      <c r="K8" s="19" t="s">
        <v>1350</v>
      </c>
      <c r="L8" s="19" t="s">
        <v>1351</v>
      </c>
      <c r="M8" s="19" t="s">
        <v>153</v>
      </c>
      <c r="N8" s="19"/>
      <c r="O8" s="19" t="s">
        <v>1321</v>
      </c>
    </row>
    <row r="9" customFormat="false" ht="22.35" hidden="false" customHeight="false" outlineLevel="0" collapsed="false">
      <c r="A9" s="19" t="s">
        <v>1352</v>
      </c>
      <c r="B9" s="19" t="s">
        <v>153</v>
      </c>
      <c r="C9" s="19" t="str">
        <f aca="false">IFERROR(INDEX('Agent Roster'!$B:$B,MATCH(B9,'Agent Roster'!$A:$A,0)),"UNASSIGNED")</f>
        <v>Algorithm Router (Master Meta-Algorithm)</v>
      </c>
      <c r="D9" s="19" t="str">
        <f aca="false">IFERROR(INDEX('Agent Roster'!$D:$D,MATCH(B9,'Agent Roster'!$A:$A,0)),"UNASSIGNED")</f>
        <v>Orchestration &amp; Diagnostics</v>
      </c>
      <c r="E9" s="19" t="s">
        <v>1313</v>
      </c>
      <c r="F9" s="19" t="s">
        <v>1353</v>
      </c>
      <c r="G9" s="19" t="s">
        <v>1315</v>
      </c>
      <c r="H9" s="19" t="s">
        <v>1316</v>
      </c>
      <c r="I9" s="19" t="s">
        <v>1354</v>
      </c>
      <c r="J9" s="19" t="s">
        <v>1318</v>
      </c>
      <c r="K9" s="19" t="s">
        <v>1355</v>
      </c>
      <c r="L9" s="19" t="s">
        <v>1356</v>
      </c>
      <c r="M9" s="19" t="s">
        <v>153</v>
      </c>
      <c r="N9" s="19"/>
      <c r="O9" s="19" t="s">
        <v>1321</v>
      </c>
    </row>
    <row r="10" customFormat="false" ht="22.35" hidden="false" customHeight="false" outlineLevel="0" collapsed="false">
      <c r="A10" s="19" t="s">
        <v>1357</v>
      </c>
      <c r="B10" s="19" t="s">
        <v>153</v>
      </c>
      <c r="C10" s="19" t="str">
        <f aca="false">IFERROR(INDEX('Agent Roster'!$B:$B,MATCH(B10,'Agent Roster'!$A:$A,0)),"UNASSIGNED")</f>
        <v>Algorithm Router (Master Meta-Algorithm)</v>
      </c>
      <c r="D10" s="19" t="str">
        <f aca="false">IFERROR(INDEX('Agent Roster'!$D:$D,MATCH(B10,'Agent Roster'!$A:$A,0)),"UNASSIGNED")</f>
        <v>Orchestration &amp; Diagnostics</v>
      </c>
      <c r="E10" s="19" t="s">
        <v>1313</v>
      </c>
      <c r="F10" s="19" t="s">
        <v>1358</v>
      </c>
      <c r="G10" s="19" t="s">
        <v>1315</v>
      </c>
      <c r="H10" s="19" t="s">
        <v>1316</v>
      </c>
      <c r="I10" s="19" t="s">
        <v>1359</v>
      </c>
      <c r="J10" s="19" t="s">
        <v>1318</v>
      </c>
      <c r="K10" s="19" t="s">
        <v>1360</v>
      </c>
      <c r="L10" s="19" t="s">
        <v>1361</v>
      </c>
      <c r="M10" s="19" t="s">
        <v>153</v>
      </c>
      <c r="N10" s="19"/>
      <c r="O10" s="19" t="s">
        <v>1321</v>
      </c>
    </row>
    <row r="11" customFormat="false" ht="22.35" hidden="false" customHeight="false" outlineLevel="0" collapsed="false">
      <c r="A11" s="19" t="s">
        <v>1362</v>
      </c>
      <c r="B11" s="19" t="s">
        <v>153</v>
      </c>
      <c r="C11" s="19" t="str">
        <f aca="false">IFERROR(INDEX('Agent Roster'!$B:$B,MATCH(B11,'Agent Roster'!$A:$A,0)),"UNASSIGNED")</f>
        <v>Algorithm Router (Master Meta-Algorithm)</v>
      </c>
      <c r="D11" s="19" t="str">
        <f aca="false">IFERROR(INDEX('Agent Roster'!$D:$D,MATCH(B11,'Agent Roster'!$A:$A,0)),"UNASSIGNED")</f>
        <v>Orchestration &amp; Diagnostics</v>
      </c>
      <c r="E11" s="19" t="s">
        <v>1313</v>
      </c>
      <c r="F11" s="19" t="s">
        <v>1363</v>
      </c>
      <c r="G11" s="19" t="s">
        <v>1315</v>
      </c>
      <c r="H11" s="19" t="s">
        <v>1316</v>
      </c>
      <c r="I11" s="19" t="s">
        <v>1364</v>
      </c>
      <c r="J11" s="19" t="s">
        <v>1318</v>
      </c>
      <c r="K11" s="19" t="s">
        <v>1365</v>
      </c>
      <c r="L11" s="19" t="s">
        <v>1366</v>
      </c>
      <c r="M11" s="19" t="s">
        <v>153</v>
      </c>
      <c r="N11" s="19"/>
      <c r="O11" s="19" t="s">
        <v>1321</v>
      </c>
    </row>
    <row r="12" customFormat="false" ht="22.35" hidden="false" customHeight="false" outlineLevel="0" collapsed="false">
      <c r="A12" s="19" t="s">
        <v>1367</v>
      </c>
      <c r="B12" s="19" t="s">
        <v>153</v>
      </c>
      <c r="C12" s="19" t="str">
        <f aca="false">IFERROR(INDEX('Agent Roster'!$B:$B,MATCH(B12,'Agent Roster'!$A:$A,0)),"UNASSIGNED")</f>
        <v>Algorithm Router (Master Meta-Algorithm)</v>
      </c>
      <c r="D12" s="19" t="str">
        <f aca="false">IFERROR(INDEX('Agent Roster'!$D:$D,MATCH(B12,'Agent Roster'!$A:$A,0)),"UNASSIGNED")</f>
        <v>Orchestration &amp; Diagnostics</v>
      </c>
      <c r="E12" s="19" t="s">
        <v>1313</v>
      </c>
      <c r="F12" s="19" t="s">
        <v>1368</v>
      </c>
      <c r="G12" s="19" t="s">
        <v>1315</v>
      </c>
      <c r="H12" s="19" t="s">
        <v>1316</v>
      </c>
      <c r="I12" s="19" t="s">
        <v>1369</v>
      </c>
      <c r="J12" s="19" t="s">
        <v>1318</v>
      </c>
      <c r="K12" s="19" t="s">
        <v>1370</v>
      </c>
      <c r="L12" s="19" t="s">
        <v>1371</v>
      </c>
      <c r="M12" s="19" t="s">
        <v>153</v>
      </c>
      <c r="N12" s="19"/>
      <c r="O12" s="19" t="s">
        <v>1321</v>
      </c>
    </row>
    <row r="13" customFormat="false" ht="32.8" hidden="false" customHeight="false" outlineLevel="0" collapsed="false">
      <c r="A13" s="19" t="s">
        <v>1372</v>
      </c>
      <c r="B13" s="19" t="s">
        <v>153</v>
      </c>
      <c r="C13" s="19" t="str">
        <f aca="false">IFERROR(INDEX('Agent Roster'!$B:$B,MATCH(B13,'Agent Roster'!$A:$A,0)),"UNASSIGNED")</f>
        <v>Algorithm Router (Master Meta-Algorithm)</v>
      </c>
      <c r="D13" s="19" t="str">
        <f aca="false">IFERROR(INDEX('Agent Roster'!$D:$D,MATCH(B13,'Agent Roster'!$A:$A,0)),"UNASSIGNED")</f>
        <v>Orchestration &amp; Diagnostics</v>
      </c>
      <c r="E13" s="19" t="s">
        <v>1313</v>
      </c>
      <c r="F13" s="19" t="s">
        <v>1373</v>
      </c>
      <c r="G13" s="19" t="s">
        <v>1315</v>
      </c>
      <c r="H13" s="19" t="s">
        <v>1316</v>
      </c>
      <c r="I13" s="19" t="s">
        <v>1374</v>
      </c>
      <c r="J13" s="19" t="s">
        <v>1318</v>
      </c>
      <c r="K13" s="19" t="s">
        <v>1375</v>
      </c>
      <c r="L13" s="19" t="s">
        <v>1376</v>
      </c>
      <c r="M13" s="19" t="s">
        <v>1377</v>
      </c>
      <c r="N13" s="19"/>
      <c r="O13" s="19" t="s">
        <v>1321</v>
      </c>
    </row>
    <row r="14" customFormat="false" ht="22.35" hidden="false" customHeight="false" outlineLevel="0" collapsed="false">
      <c r="A14" s="19" t="s">
        <v>1378</v>
      </c>
      <c r="B14" s="19" t="s">
        <v>149</v>
      </c>
      <c r="C14" s="19" t="str">
        <f aca="false">IFERROR(INDEX('Agent Roster'!$B:$B,MATCH(B14,'Agent Roster'!$A:$A,0)),"UNASSIGNED")</f>
        <v>Intake &amp; Triage Agent (Layer 0 Base Code)</v>
      </c>
      <c r="D14" s="19" t="str">
        <f aca="false">IFERROR(INDEX('Agent Roster'!$D:$D,MATCH(B14,'Agent Roster'!$A:$A,0)),"UNASSIGNED")</f>
        <v>Orchestration &amp; Diagnostics</v>
      </c>
      <c r="E14" s="19" t="s">
        <v>1379</v>
      </c>
      <c r="F14" s="19" t="s">
        <v>1380</v>
      </c>
      <c r="G14" s="19" t="s">
        <v>1315</v>
      </c>
      <c r="H14" s="19" t="s">
        <v>1381</v>
      </c>
      <c r="I14" s="19" t="s">
        <v>1382</v>
      </c>
      <c r="J14" s="19" t="s">
        <v>1383</v>
      </c>
      <c r="K14" s="19" t="s">
        <v>1319</v>
      </c>
      <c r="L14" s="19" t="s">
        <v>1320</v>
      </c>
      <c r="M14" s="19" t="s">
        <v>149</v>
      </c>
      <c r="N14" s="19"/>
      <c r="O14" s="19" t="s">
        <v>1321</v>
      </c>
    </row>
    <row r="15" customFormat="false" ht="22.35" hidden="false" customHeight="false" outlineLevel="0" collapsed="false">
      <c r="A15" s="19" t="s">
        <v>1384</v>
      </c>
      <c r="B15" s="19" t="s">
        <v>149</v>
      </c>
      <c r="C15" s="19" t="str">
        <f aca="false">IFERROR(INDEX('Agent Roster'!$B:$B,MATCH(B15,'Agent Roster'!$A:$A,0)),"UNASSIGNED")</f>
        <v>Intake &amp; Triage Agent (Layer 0 Base Code)</v>
      </c>
      <c r="D15" s="19" t="str">
        <f aca="false">IFERROR(INDEX('Agent Roster'!$D:$D,MATCH(B15,'Agent Roster'!$A:$A,0)),"UNASSIGNED")</f>
        <v>Orchestration &amp; Diagnostics</v>
      </c>
      <c r="E15" s="19" t="s">
        <v>1379</v>
      </c>
      <c r="F15" s="19" t="s">
        <v>1385</v>
      </c>
      <c r="G15" s="19" t="s">
        <v>1315</v>
      </c>
      <c r="H15" s="19" t="s">
        <v>1381</v>
      </c>
      <c r="I15" s="19" t="s">
        <v>1386</v>
      </c>
      <c r="J15" s="19" t="s">
        <v>1383</v>
      </c>
      <c r="K15" s="19" t="s">
        <v>1325</v>
      </c>
      <c r="L15" s="19" t="s">
        <v>1326</v>
      </c>
      <c r="M15" s="19" t="s">
        <v>149</v>
      </c>
      <c r="N15" s="19"/>
      <c r="O15" s="19" t="s">
        <v>1321</v>
      </c>
    </row>
    <row r="16" customFormat="false" ht="22.35" hidden="false" customHeight="false" outlineLevel="0" collapsed="false">
      <c r="A16" s="19" t="s">
        <v>1387</v>
      </c>
      <c r="B16" s="19" t="s">
        <v>149</v>
      </c>
      <c r="C16" s="19" t="str">
        <f aca="false">IFERROR(INDEX('Agent Roster'!$B:$B,MATCH(B16,'Agent Roster'!$A:$A,0)),"UNASSIGNED")</f>
        <v>Intake &amp; Triage Agent (Layer 0 Base Code)</v>
      </c>
      <c r="D16" s="19" t="str">
        <f aca="false">IFERROR(INDEX('Agent Roster'!$D:$D,MATCH(B16,'Agent Roster'!$A:$A,0)),"UNASSIGNED")</f>
        <v>Orchestration &amp; Diagnostics</v>
      </c>
      <c r="E16" s="19" t="s">
        <v>1379</v>
      </c>
      <c r="F16" s="19" t="s">
        <v>1388</v>
      </c>
      <c r="G16" s="19" t="s">
        <v>1315</v>
      </c>
      <c r="H16" s="19" t="s">
        <v>1381</v>
      </c>
      <c r="I16" s="19" t="s">
        <v>1389</v>
      </c>
      <c r="J16" s="19" t="s">
        <v>1383</v>
      </c>
      <c r="K16" s="19" t="s">
        <v>1330</v>
      </c>
      <c r="L16" s="19" t="s">
        <v>1331</v>
      </c>
      <c r="M16" s="19" t="s">
        <v>149</v>
      </c>
      <c r="N16" s="19"/>
      <c r="O16" s="19" t="s">
        <v>1321</v>
      </c>
    </row>
    <row r="17" customFormat="false" ht="22.35" hidden="false" customHeight="false" outlineLevel="0" collapsed="false">
      <c r="A17" s="19" t="s">
        <v>1390</v>
      </c>
      <c r="B17" s="19" t="s">
        <v>149</v>
      </c>
      <c r="C17" s="19" t="str">
        <f aca="false">IFERROR(INDEX('Agent Roster'!$B:$B,MATCH(B17,'Agent Roster'!$A:$A,0)),"UNASSIGNED")</f>
        <v>Intake &amp; Triage Agent (Layer 0 Base Code)</v>
      </c>
      <c r="D17" s="19" t="str">
        <f aca="false">IFERROR(INDEX('Agent Roster'!$D:$D,MATCH(B17,'Agent Roster'!$A:$A,0)),"UNASSIGNED")</f>
        <v>Orchestration &amp; Diagnostics</v>
      </c>
      <c r="E17" s="19" t="s">
        <v>1379</v>
      </c>
      <c r="F17" s="19" t="s">
        <v>1391</v>
      </c>
      <c r="G17" s="19" t="s">
        <v>1315</v>
      </c>
      <c r="H17" s="19" t="s">
        <v>1381</v>
      </c>
      <c r="I17" s="19" t="s">
        <v>1392</v>
      </c>
      <c r="J17" s="19" t="s">
        <v>1383</v>
      </c>
      <c r="K17" s="19" t="s">
        <v>1335</v>
      </c>
      <c r="L17" s="19" t="s">
        <v>1336</v>
      </c>
      <c r="M17" s="19" t="s">
        <v>149</v>
      </c>
      <c r="N17" s="19"/>
      <c r="O17" s="19" t="s">
        <v>1321</v>
      </c>
    </row>
    <row r="18" customFormat="false" ht="22.35" hidden="false" customHeight="false" outlineLevel="0" collapsed="false">
      <c r="A18" s="19" t="s">
        <v>1393</v>
      </c>
      <c r="B18" s="19" t="s">
        <v>149</v>
      </c>
      <c r="C18" s="19" t="str">
        <f aca="false">IFERROR(INDEX('Agent Roster'!$B:$B,MATCH(B18,'Agent Roster'!$A:$A,0)),"UNASSIGNED")</f>
        <v>Intake &amp; Triage Agent (Layer 0 Base Code)</v>
      </c>
      <c r="D18" s="19" t="str">
        <f aca="false">IFERROR(INDEX('Agent Roster'!$D:$D,MATCH(B18,'Agent Roster'!$A:$A,0)),"UNASSIGNED")</f>
        <v>Orchestration &amp; Diagnostics</v>
      </c>
      <c r="E18" s="19" t="s">
        <v>1379</v>
      </c>
      <c r="F18" s="19" t="s">
        <v>1394</v>
      </c>
      <c r="G18" s="19" t="s">
        <v>1315</v>
      </c>
      <c r="H18" s="19" t="s">
        <v>1381</v>
      </c>
      <c r="I18" s="19" t="s">
        <v>1395</v>
      </c>
      <c r="J18" s="19" t="s">
        <v>1383</v>
      </c>
      <c r="K18" s="19" t="s">
        <v>1340</v>
      </c>
      <c r="L18" s="19" t="s">
        <v>1341</v>
      </c>
      <c r="M18" s="19" t="s">
        <v>149</v>
      </c>
      <c r="N18" s="19"/>
      <c r="O18" s="19" t="s">
        <v>1321</v>
      </c>
    </row>
    <row r="19" customFormat="false" ht="22.35" hidden="false" customHeight="false" outlineLevel="0" collapsed="false">
      <c r="A19" s="19" t="s">
        <v>1396</v>
      </c>
      <c r="B19" s="19" t="s">
        <v>149</v>
      </c>
      <c r="C19" s="19" t="str">
        <f aca="false">IFERROR(INDEX('Agent Roster'!$B:$B,MATCH(B19,'Agent Roster'!$A:$A,0)),"UNASSIGNED")</f>
        <v>Intake &amp; Triage Agent (Layer 0 Base Code)</v>
      </c>
      <c r="D19" s="19" t="str">
        <f aca="false">IFERROR(INDEX('Agent Roster'!$D:$D,MATCH(B19,'Agent Roster'!$A:$A,0)),"UNASSIGNED")</f>
        <v>Orchestration &amp; Diagnostics</v>
      </c>
      <c r="E19" s="19" t="s">
        <v>1379</v>
      </c>
      <c r="F19" s="19" t="s">
        <v>1397</v>
      </c>
      <c r="G19" s="19" t="s">
        <v>1315</v>
      </c>
      <c r="H19" s="19" t="s">
        <v>1381</v>
      </c>
      <c r="I19" s="19" t="s">
        <v>1398</v>
      </c>
      <c r="J19" s="19" t="s">
        <v>1383</v>
      </c>
      <c r="K19" s="19" t="s">
        <v>1345</v>
      </c>
      <c r="L19" s="19" t="s">
        <v>1376</v>
      </c>
      <c r="M19" s="19" t="s">
        <v>1377</v>
      </c>
      <c r="N19" s="19"/>
      <c r="O19" s="19" t="s">
        <v>1321</v>
      </c>
    </row>
    <row r="20" customFormat="false" ht="22.35" hidden="false" customHeight="false" outlineLevel="0" collapsed="false">
      <c r="A20" s="19" t="s">
        <v>1399</v>
      </c>
      <c r="B20" s="19" t="s">
        <v>199</v>
      </c>
      <c r="C20" s="19" t="str">
        <f aca="false">IFERROR(INDEX('Agent Roster'!$B:$B,MATCH(B20,'Agent Roster'!$A:$A,0)),"UNASSIGNED")</f>
        <v>Three Kingdoms Diagnostician (Layer I)</v>
      </c>
      <c r="D20" s="19" t="str">
        <f aca="false">IFERROR(INDEX('Agent Roster'!$D:$D,MATCH(B20,'Agent Roster'!$A:$A,0)),"UNASSIGNED")</f>
        <v>Orchestration &amp; Diagnostics</v>
      </c>
      <c r="E20" s="19" t="s">
        <v>1400</v>
      </c>
      <c r="F20" s="19" t="s">
        <v>1401</v>
      </c>
      <c r="G20" s="19" t="s">
        <v>1315</v>
      </c>
      <c r="H20" s="19" t="s">
        <v>1402</v>
      </c>
      <c r="I20" s="19" t="s">
        <v>1403</v>
      </c>
      <c r="J20" s="19" t="s">
        <v>1404</v>
      </c>
      <c r="K20" s="19" t="s">
        <v>1319</v>
      </c>
      <c r="L20" s="19" t="s">
        <v>1320</v>
      </c>
      <c r="M20" s="19" t="s">
        <v>199</v>
      </c>
      <c r="N20" s="19"/>
      <c r="O20" s="19" t="s">
        <v>1321</v>
      </c>
    </row>
    <row r="21" customFormat="false" ht="22.35" hidden="false" customHeight="false" outlineLevel="0" collapsed="false">
      <c r="A21" s="19" t="s">
        <v>1405</v>
      </c>
      <c r="B21" s="19" t="s">
        <v>199</v>
      </c>
      <c r="C21" s="19" t="str">
        <f aca="false">IFERROR(INDEX('Agent Roster'!$B:$B,MATCH(B21,'Agent Roster'!$A:$A,0)),"UNASSIGNED")</f>
        <v>Three Kingdoms Diagnostician (Layer I)</v>
      </c>
      <c r="D21" s="19" t="str">
        <f aca="false">IFERROR(INDEX('Agent Roster'!$D:$D,MATCH(B21,'Agent Roster'!$A:$A,0)),"UNASSIGNED")</f>
        <v>Orchestration &amp; Diagnostics</v>
      </c>
      <c r="E21" s="19" t="s">
        <v>1400</v>
      </c>
      <c r="F21" s="19" t="s">
        <v>1406</v>
      </c>
      <c r="G21" s="19" t="s">
        <v>1315</v>
      </c>
      <c r="H21" s="19" t="s">
        <v>1402</v>
      </c>
      <c r="I21" s="19" t="s">
        <v>1407</v>
      </c>
      <c r="J21" s="19" t="s">
        <v>1404</v>
      </c>
      <c r="K21" s="19" t="s">
        <v>1325</v>
      </c>
      <c r="L21" s="19" t="s">
        <v>1326</v>
      </c>
      <c r="M21" s="19" t="s">
        <v>199</v>
      </c>
      <c r="N21" s="19"/>
      <c r="O21" s="19" t="s">
        <v>1321</v>
      </c>
    </row>
    <row r="22" customFormat="false" ht="22.35" hidden="false" customHeight="false" outlineLevel="0" collapsed="false">
      <c r="A22" s="19" t="s">
        <v>1408</v>
      </c>
      <c r="B22" s="19" t="s">
        <v>199</v>
      </c>
      <c r="C22" s="19" t="str">
        <f aca="false">IFERROR(INDEX('Agent Roster'!$B:$B,MATCH(B22,'Agent Roster'!$A:$A,0)),"UNASSIGNED")</f>
        <v>Three Kingdoms Diagnostician (Layer I)</v>
      </c>
      <c r="D22" s="19" t="str">
        <f aca="false">IFERROR(INDEX('Agent Roster'!$D:$D,MATCH(B22,'Agent Roster'!$A:$A,0)),"UNASSIGNED")</f>
        <v>Orchestration &amp; Diagnostics</v>
      </c>
      <c r="E22" s="19" t="s">
        <v>1400</v>
      </c>
      <c r="F22" s="19" t="s">
        <v>1409</v>
      </c>
      <c r="G22" s="19" t="s">
        <v>1315</v>
      </c>
      <c r="H22" s="19" t="s">
        <v>1402</v>
      </c>
      <c r="I22" s="19" t="s">
        <v>1410</v>
      </c>
      <c r="J22" s="19" t="s">
        <v>1404</v>
      </c>
      <c r="K22" s="19" t="s">
        <v>1330</v>
      </c>
      <c r="L22" s="19" t="s">
        <v>1331</v>
      </c>
      <c r="M22" s="19" t="s">
        <v>199</v>
      </c>
      <c r="N22" s="19"/>
      <c r="O22" s="19" t="s">
        <v>1321</v>
      </c>
    </row>
    <row r="23" customFormat="false" ht="22.35" hidden="false" customHeight="false" outlineLevel="0" collapsed="false">
      <c r="A23" s="19" t="s">
        <v>1411</v>
      </c>
      <c r="B23" s="19" t="s">
        <v>199</v>
      </c>
      <c r="C23" s="19" t="str">
        <f aca="false">IFERROR(INDEX('Agent Roster'!$B:$B,MATCH(B23,'Agent Roster'!$A:$A,0)),"UNASSIGNED")</f>
        <v>Three Kingdoms Diagnostician (Layer I)</v>
      </c>
      <c r="D23" s="19" t="str">
        <f aca="false">IFERROR(INDEX('Agent Roster'!$D:$D,MATCH(B23,'Agent Roster'!$A:$A,0)),"UNASSIGNED")</f>
        <v>Orchestration &amp; Diagnostics</v>
      </c>
      <c r="E23" s="19" t="s">
        <v>1400</v>
      </c>
      <c r="F23" s="19" t="s">
        <v>1412</v>
      </c>
      <c r="G23" s="19" t="s">
        <v>1315</v>
      </c>
      <c r="H23" s="19" t="s">
        <v>1402</v>
      </c>
      <c r="I23" s="19" t="s">
        <v>1413</v>
      </c>
      <c r="J23" s="19" t="s">
        <v>1404</v>
      </c>
      <c r="K23" s="19" t="s">
        <v>1335</v>
      </c>
      <c r="L23" s="19" t="s">
        <v>1336</v>
      </c>
      <c r="M23" s="19" t="s">
        <v>199</v>
      </c>
      <c r="N23" s="19"/>
      <c r="O23" s="19" t="s">
        <v>1321</v>
      </c>
    </row>
    <row r="24" customFormat="false" ht="22.35" hidden="false" customHeight="false" outlineLevel="0" collapsed="false">
      <c r="A24" s="19" t="s">
        <v>1414</v>
      </c>
      <c r="B24" s="19" t="s">
        <v>199</v>
      </c>
      <c r="C24" s="19" t="str">
        <f aca="false">IFERROR(INDEX('Agent Roster'!$B:$B,MATCH(B24,'Agent Roster'!$A:$A,0)),"UNASSIGNED")</f>
        <v>Three Kingdoms Diagnostician (Layer I)</v>
      </c>
      <c r="D24" s="19" t="str">
        <f aca="false">IFERROR(INDEX('Agent Roster'!$D:$D,MATCH(B24,'Agent Roster'!$A:$A,0)),"UNASSIGNED")</f>
        <v>Orchestration &amp; Diagnostics</v>
      </c>
      <c r="E24" s="19" t="s">
        <v>1400</v>
      </c>
      <c r="F24" s="19" t="s">
        <v>1415</v>
      </c>
      <c r="G24" s="19" t="s">
        <v>1315</v>
      </c>
      <c r="H24" s="19" t="s">
        <v>1402</v>
      </c>
      <c r="I24" s="19" t="s">
        <v>1416</v>
      </c>
      <c r="J24" s="19" t="s">
        <v>1404</v>
      </c>
      <c r="K24" s="19" t="s">
        <v>1340</v>
      </c>
      <c r="L24" s="19" t="s">
        <v>1341</v>
      </c>
      <c r="M24" s="19" t="s">
        <v>199</v>
      </c>
      <c r="N24" s="19"/>
      <c r="O24" s="19" t="s">
        <v>1321</v>
      </c>
    </row>
    <row r="25" customFormat="false" ht="32.8" hidden="false" customHeight="false" outlineLevel="0" collapsed="false">
      <c r="A25" s="19" t="s">
        <v>1417</v>
      </c>
      <c r="B25" s="19" t="s">
        <v>199</v>
      </c>
      <c r="C25" s="19" t="str">
        <f aca="false">IFERROR(INDEX('Agent Roster'!$B:$B,MATCH(B25,'Agent Roster'!$A:$A,0)),"UNASSIGNED")</f>
        <v>Three Kingdoms Diagnostician (Layer I)</v>
      </c>
      <c r="D25" s="19" t="str">
        <f aca="false">IFERROR(INDEX('Agent Roster'!$D:$D,MATCH(B25,'Agent Roster'!$A:$A,0)),"UNASSIGNED")</f>
        <v>Orchestration &amp; Diagnostics</v>
      </c>
      <c r="E25" s="19" t="s">
        <v>1400</v>
      </c>
      <c r="F25" s="19" t="s">
        <v>1418</v>
      </c>
      <c r="G25" s="19" t="s">
        <v>1315</v>
      </c>
      <c r="H25" s="19" t="s">
        <v>1402</v>
      </c>
      <c r="I25" s="19" t="s">
        <v>1419</v>
      </c>
      <c r="J25" s="19" t="s">
        <v>1404</v>
      </c>
      <c r="K25" s="19" t="s">
        <v>1345</v>
      </c>
      <c r="L25" s="19" t="s">
        <v>1346</v>
      </c>
      <c r="M25" s="19" t="s">
        <v>199</v>
      </c>
      <c r="N25" s="19"/>
      <c r="O25" s="19" t="s">
        <v>1321</v>
      </c>
    </row>
    <row r="26" customFormat="false" ht="22.35" hidden="false" customHeight="false" outlineLevel="0" collapsed="false">
      <c r="A26" s="19" t="s">
        <v>1420</v>
      </c>
      <c r="B26" s="19" t="s">
        <v>199</v>
      </c>
      <c r="C26" s="19" t="str">
        <f aca="false">IFERROR(INDEX('Agent Roster'!$B:$B,MATCH(B26,'Agent Roster'!$A:$A,0)),"UNASSIGNED")</f>
        <v>Three Kingdoms Diagnostician (Layer I)</v>
      </c>
      <c r="D26" s="19" t="str">
        <f aca="false">IFERROR(INDEX('Agent Roster'!$D:$D,MATCH(B26,'Agent Roster'!$A:$A,0)),"UNASSIGNED")</f>
        <v>Orchestration &amp; Diagnostics</v>
      </c>
      <c r="E26" s="19" t="s">
        <v>1400</v>
      </c>
      <c r="F26" s="19" t="s">
        <v>1421</v>
      </c>
      <c r="G26" s="19" t="s">
        <v>1315</v>
      </c>
      <c r="H26" s="19" t="s">
        <v>1402</v>
      </c>
      <c r="I26" s="19" t="s">
        <v>1422</v>
      </c>
      <c r="J26" s="19" t="s">
        <v>1404</v>
      </c>
      <c r="K26" s="19" t="s">
        <v>1350</v>
      </c>
      <c r="L26" s="19" t="s">
        <v>1376</v>
      </c>
      <c r="M26" s="19" t="s">
        <v>1377</v>
      </c>
      <c r="N26" s="19"/>
      <c r="O26" s="19" t="s">
        <v>1321</v>
      </c>
    </row>
    <row r="27" customFormat="false" ht="22.35" hidden="false" customHeight="false" outlineLevel="0" collapsed="false">
      <c r="A27" s="19" t="s">
        <v>1423</v>
      </c>
      <c r="B27" s="19" t="s">
        <v>261</v>
      </c>
      <c r="C27" s="19" t="str">
        <f aca="false">IFERROR(INDEX('Agent Roster'!$B:$B,MATCH(B27,'Agent Roster'!$A:$A,0)),"UNASSIGNED")</f>
        <v>Infrastructure Pillars Agent (Layer I.B)</v>
      </c>
      <c r="D27" s="19" t="str">
        <f aca="false">IFERROR(INDEX('Agent Roster'!$D:$D,MATCH(B27,'Agent Roster'!$A:$A,0)),"UNASSIGNED")</f>
        <v>Orchestration &amp; Diagnostics</v>
      </c>
      <c r="E27" s="19" t="s">
        <v>1424</v>
      </c>
      <c r="F27" s="19" t="s">
        <v>1425</v>
      </c>
      <c r="G27" s="19" t="s">
        <v>1315</v>
      </c>
      <c r="H27" s="19" t="s">
        <v>1426</v>
      </c>
      <c r="I27" s="19" t="s">
        <v>1427</v>
      </c>
      <c r="J27" s="19" t="s">
        <v>1428</v>
      </c>
      <c r="K27" s="19" t="s">
        <v>1319</v>
      </c>
      <c r="L27" s="19" t="s">
        <v>1320</v>
      </c>
      <c r="M27" s="19" t="s">
        <v>261</v>
      </c>
      <c r="N27" s="19"/>
      <c r="O27" s="19" t="s">
        <v>1321</v>
      </c>
    </row>
    <row r="28" customFormat="false" ht="22.35" hidden="false" customHeight="false" outlineLevel="0" collapsed="false">
      <c r="A28" s="19" t="s">
        <v>1429</v>
      </c>
      <c r="B28" s="19" t="s">
        <v>261</v>
      </c>
      <c r="C28" s="19" t="str">
        <f aca="false">IFERROR(INDEX('Agent Roster'!$B:$B,MATCH(B28,'Agent Roster'!$A:$A,0)),"UNASSIGNED")</f>
        <v>Infrastructure Pillars Agent (Layer I.B)</v>
      </c>
      <c r="D28" s="19" t="str">
        <f aca="false">IFERROR(INDEX('Agent Roster'!$D:$D,MATCH(B28,'Agent Roster'!$A:$A,0)),"UNASSIGNED")</f>
        <v>Orchestration &amp; Diagnostics</v>
      </c>
      <c r="E28" s="19" t="s">
        <v>1424</v>
      </c>
      <c r="F28" s="19" t="s">
        <v>1430</v>
      </c>
      <c r="G28" s="19" t="s">
        <v>1315</v>
      </c>
      <c r="H28" s="19" t="s">
        <v>1426</v>
      </c>
      <c r="I28" s="19" t="s">
        <v>1431</v>
      </c>
      <c r="J28" s="19" t="s">
        <v>1428</v>
      </c>
      <c r="K28" s="19" t="s">
        <v>1325</v>
      </c>
      <c r="L28" s="19" t="s">
        <v>1326</v>
      </c>
      <c r="M28" s="19" t="s">
        <v>261</v>
      </c>
      <c r="N28" s="19"/>
      <c r="O28" s="19" t="s">
        <v>1321</v>
      </c>
    </row>
    <row r="29" customFormat="false" ht="22.35" hidden="false" customHeight="false" outlineLevel="0" collapsed="false">
      <c r="A29" s="19" t="s">
        <v>1432</v>
      </c>
      <c r="B29" s="19" t="s">
        <v>261</v>
      </c>
      <c r="C29" s="19" t="str">
        <f aca="false">IFERROR(INDEX('Agent Roster'!$B:$B,MATCH(B29,'Agent Roster'!$A:$A,0)),"UNASSIGNED")</f>
        <v>Infrastructure Pillars Agent (Layer I.B)</v>
      </c>
      <c r="D29" s="19" t="str">
        <f aca="false">IFERROR(INDEX('Agent Roster'!$D:$D,MATCH(B29,'Agent Roster'!$A:$A,0)),"UNASSIGNED")</f>
        <v>Orchestration &amp; Diagnostics</v>
      </c>
      <c r="E29" s="19" t="s">
        <v>1424</v>
      </c>
      <c r="F29" s="19" t="s">
        <v>1433</v>
      </c>
      <c r="G29" s="19" t="s">
        <v>1315</v>
      </c>
      <c r="H29" s="19" t="s">
        <v>1426</v>
      </c>
      <c r="I29" s="19" t="s">
        <v>1434</v>
      </c>
      <c r="J29" s="19" t="s">
        <v>1428</v>
      </c>
      <c r="K29" s="19" t="s">
        <v>1330</v>
      </c>
      <c r="L29" s="19" t="s">
        <v>1331</v>
      </c>
      <c r="M29" s="19" t="s">
        <v>261</v>
      </c>
      <c r="N29" s="19"/>
      <c r="O29" s="19" t="s">
        <v>1321</v>
      </c>
    </row>
    <row r="30" customFormat="false" ht="22.35" hidden="false" customHeight="false" outlineLevel="0" collapsed="false">
      <c r="A30" s="19" t="s">
        <v>1435</v>
      </c>
      <c r="B30" s="19" t="s">
        <v>261</v>
      </c>
      <c r="C30" s="19" t="str">
        <f aca="false">IFERROR(INDEX('Agent Roster'!$B:$B,MATCH(B30,'Agent Roster'!$A:$A,0)),"UNASSIGNED")</f>
        <v>Infrastructure Pillars Agent (Layer I.B)</v>
      </c>
      <c r="D30" s="19" t="str">
        <f aca="false">IFERROR(INDEX('Agent Roster'!$D:$D,MATCH(B30,'Agent Roster'!$A:$A,0)),"UNASSIGNED")</f>
        <v>Orchestration &amp; Diagnostics</v>
      </c>
      <c r="E30" s="19" t="s">
        <v>1424</v>
      </c>
      <c r="F30" s="19" t="s">
        <v>1436</v>
      </c>
      <c r="G30" s="19" t="s">
        <v>1315</v>
      </c>
      <c r="H30" s="19" t="s">
        <v>1426</v>
      </c>
      <c r="I30" s="19" t="s">
        <v>1437</v>
      </c>
      <c r="J30" s="19" t="s">
        <v>1428</v>
      </c>
      <c r="K30" s="19" t="s">
        <v>1335</v>
      </c>
      <c r="L30" s="19" t="s">
        <v>1336</v>
      </c>
      <c r="M30" s="19" t="s">
        <v>261</v>
      </c>
      <c r="N30" s="19"/>
      <c r="O30" s="19" t="s">
        <v>1321</v>
      </c>
    </row>
    <row r="31" customFormat="false" ht="22.35" hidden="false" customHeight="false" outlineLevel="0" collapsed="false">
      <c r="A31" s="19" t="s">
        <v>1438</v>
      </c>
      <c r="B31" s="19" t="s">
        <v>261</v>
      </c>
      <c r="C31" s="19" t="str">
        <f aca="false">IFERROR(INDEX('Agent Roster'!$B:$B,MATCH(B31,'Agent Roster'!$A:$A,0)),"UNASSIGNED")</f>
        <v>Infrastructure Pillars Agent (Layer I.B)</v>
      </c>
      <c r="D31" s="19" t="str">
        <f aca="false">IFERROR(INDEX('Agent Roster'!$D:$D,MATCH(B31,'Agent Roster'!$A:$A,0)),"UNASSIGNED")</f>
        <v>Orchestration &amp; Diagnostics</v>
      </c>
      <c r="E31" s="19" t="s">
        <v>1424</v>
      </c>
      <c r="F31" s="19" t="s">
        <v>1439</v>
      </c>
      <c r="G31" s="19" t="s">
        <v>1315</v>
      </c>
      <c r="H31" s="19" t="s">
        <v>1426</v>
      </c>
      <c r="I31" s="19" t="s">
        <v>1440</v>
      </c>
      <c r="J31" s="19" t="s">
        <v>1428</v>
      </c>
      <c r="K31" s="19" t="s">
        <v>1340</v>
      </c>
      <c r="L31" s="19" t="s">
        <v>1341</v>
      </c>
      <c r="M31" s="19" t="s">
        <v>261</v>
      </c>
      <c r="N31" s="19"/>
      <c r="O31" s="19" t="s">
        <v>1321</v>
      </c>
    </row>
    <row r="32" customFormat="false" ht="22.35" hidden="false" customHeight="false" outlineLevel="0" collapsed="false">
      <c r="A32" s="19" t="s">
        <v>1441</v>
      </c>
      <c r="B32" s="19" t="s">
        <v>261</v>
      </c>
      <c r="C32" s="19" t="str">
        <f aca="false">IFERROR(INDEX('Agent Roster'!$B:$B,MATCH(B32,'Agent Roster'!$A:$A,0)),"UNASSIGNED")</f>
        <v>Infrastructure Pillars Agent (Layer I.B)</v>
      </c>
      <c r="D32" s="19" t="str">
        <f aca="false">IFERROR(INDEX('Agent Roster'!$D:$D,MATCH(B32,'Agent Roster'!$A:$A,0)),"UNASSIGNED")</f>
        <v>Orchestration &amp; Diagnostics</v>
      </c>
      <c r="E32" s="19" t="s">
        <v>1424</v>
      </c>
      <c r="F32" s="19" t="s">
        <v>1442</v>
      </c>
      <c r="G32" s="19" t="s">
        <v>1315</v>
      </c>
      <c r="H32" s="19" t="s">
        <v>1426</v>
      </c>
      <c r="I32" s="19" t="s">
        <v>1443</v>
      </c>
      <c r="J32" s="19" t="s">
        <v>1428</v>
      </c>
      <c r="K32" s="19" t="s">
        <v>1345</v>
      </c>
      <c r="L32" s="19" t="s">
        <v>1346</v>
      </c>
      <c r="M32" s="19" t="s">
        <v>261</v>
      </c>
      <c r="N32" s="19"/>
      <c r="O32" s="19" t="s">
        <v>1321</v>
      </c>
    </row>
    <row r="33" customFormat="false" ht="22.35" hidden="false" customHeight="false" outlineLevel="0" collapsed="false">
      <c r="A33" s="19" t="s">
        <v>1444</v>
      </c>
      <c r="B33" s="19" t="s">
        <v>261</v>
      </c>
      <c r="C33" s="19" t="str">
        <f aca="false">IFERROR(INDEX('Agent Roster'!$B:$B,MATCH(B33,'Agent Roster'!$A:$A,0)),"UNASSIGNED")</f>
        <v>Infrastructure Pillars Agent (Layer I.B)</v>
      </c>
      <c r="D33" s="19" t="str">
        <f aca="false">IFERROR(INDEX('Agent Roster'!$D:$D,MATCH(B33,'Agent Roster'!$A:$A,0)),"UNASSIGNED")</f>
        <v>Orchestration &amp; Diagnostics</v>
      </c>
      <c r="E33" s="19" t="s">
        <v>1424</v>
      </c>
      <c r="F33" s="19" t="s">
        <v>1445</v>
      </c>
      <c r="G33" s="19" t="s">
        <v>1315</v>
      </c>
      <c r="H33" s="19" t="s">
        <v>1426</v>
      </c>
      <c r="I33" s="19" t="s">
        <v>1446</v>
      </c>
      <c r="J33" s="19" t="s">
        <v>1428</v>
      </c>
      <c r="K33" s="19" t="s">
        <v>1350</v>
      </c>
      <c r="L33" s="19" t="s">
        <v>1376</v>
      </c>
      <c r="M33" s="19" t="s">
        <v>1377</v>
      </c>
      <c r="N33" s="19"/>
      <c r="O33" s="19" t="s">
        <v>1321</v>
      </c>
    </row>
    <row r="34" customFormat="false" ht="22.35" hidden="false" customHeight="false" outlineLevel="0" collapsed="false">
      <c r="A34" s="19" t="s">
        <v>1447</v>
      </c>
      <c r="B34" s="19" t="s">
        <v>272</v>
      </c>
      <c r="C34" s="19" t="str">
        <f aca="false">IFERROR(INDEX('Agent Roster'!$B:$B,MATCH(B34,'Agent Roster'!$A:$A,0)),"UNASSIGNED")</f>
        <v>Process Cartographer (Layer I.C Universal Process Registry)</v>
      </c>
      <c r="D34" s="19" t="str">
        <f aca="false">IFERROR(INDEX('Agent Roster'!$D:$D,MATCH(B34,'Agent Roster'!$A:$A,0)),"UNASSIGNED")</f>
        <v>Orchestration &amp; Diagnostics</v>
      </c>
      <c r="E34" s="19" t="s">
        <v>1448</v>
      </c>
      <c r="F34" s="19" t="s">
        <v>1449</v>
      </c>
      <c r="G34" s="19" t="s">
        <v>1315</v>
      </c>
      <c r="H34" s="19" t="s">
        <v>1450</v>
      </c>
      <c r="I34" s="19" t="s">
        <v>1451</v>
      </c>
      <c r="J34" s="19" t="s">
        <v>1452</v>
      </c>
      <c r="K34" s="19" t="s">
        <v>1319</v>
      </c>
      <c r="L34" s="19" t="s">
        <v>1320</v>
      </c>
      <c r="M34" s="19" t="s">
        <v>272</v>
      </c>
      <c r="N34" s="19"/>
      <c r="O34" s="19" t="s">
        <v>1321</v>
      </c>
    </row>
    <row r="35" customFormat="false" ht="22.35" hidden="false" customHeight="false" outlineLevel="0" collapsed="false">
      <c r="A35" s="19" t="s">
        <v>1453</v>
      </c>
      <c r="B35" s="19" t="s">
        <v>272</v>
      </c>
      <c r="C35" s="19" t="str">
        <f aca="false">IFERROR(INDEX('Agent Roster'!$B:$B,MATCH(B35,'Agent Roster'!$A:$A,0)),"UNASSIGNED")</f>
        <v>Process Cartographer (Layer I.C Universal Process Registry)</v>
      </c>
      <c r="D35" s="19" t="str">
        <f aca="false">IFERROR(INDEX('Agent Roster'!$D:$D,MATCH(B35,'Agent Roster'!$A:$A,0)),"UNASSIGNED")</f>
        <v>Orchestration &amp; Diagnostics</v>
      </c>
      <c r="E35" s="19" t="s">
        <v>1448</v>
      </c>
      <c r="F35" s="19" t="s">
        <v>1454</v>
      </c>
      <c r="G35" s="19" t="s">
        <v>1315</v>
      </c>
      <c r="H35" s="19" t="s">
        <v>1450</v>
      </c>
      <c r="I35" s="19" t="s">
        <v>1455</v>
      </c>
      <c r="J35" s="19" t="s">
        <v>1452</v>
      </c>
      <c r="K35" s="19" t="s">
        <v>1325</v>
      </c>
      <c r="L35" s="19" t="s">
        <v>1326</v>
      </c>
      <c r="M35" s="19" t="s">
        <v>272</v>
      </c>
      <c r="N35" s="19"/>
      <c r="O35" s="19" t="s">
        <v>1321</v>
      </c>
    </row>
    <row r="36" customFormat="false" ht="22.35" hidden="false" customHeight="false" outlineLevel="0" collapsed="false">
      <c r="A36" s="19" t="s">
        <v>1456</v>
      </c>
      <c r="B36" s="19" t="s">
        <v>272</v>
      </c>
      <c r="C36" s="19" t="str">
        <f aca="false">IFERROR(INDEX('Agent Roster'!$B:$B,MATCH(B36,'Agent Roster'!$A:$A,0)),"UNASSIGNED")</f>
        <v>Process Cartographer (Layer I.C Universal Process Registry)</v>
      </c>
      <c r="D36" s="19" t="str">
        <f aca="false">IFERROR(INDEX('Agent Roster'!$D:$D,MATCH(B36,'Agent Roster'!$A:$A,0)),"UNASSIGNED")</f>
        <v>Orchestration &amp; Diagnostics</v>
      </c>
      <c r="E36" s="19" t="s">
        <v>1448</v>
      </c>
      <c r="F36" s="19" t="s">
        <v>1457</v>
      </c>
      <c r="G36" s="19" t="s">
        <v>1315</v>
      </c>
      <c r="H36" s="19" t="s">
        <v>1450</v>
      </c>
      <c r="I36" s="19" t="s">
        <v>1458</v>
      </c>
      <c r="J36" s="19" t="s">
        <v>1452</v>
      </c>
      <c r="K36" s="19" t="s">
        <v>1330</v>
      </c>
      <c r="L36" s="19" t="s">
        <v>1331</v>
      </c>
      <c r="M36" s="19" t="s">
        <v>272</v>
      </c>
      <c r="N36" s="19"/>
      <c r="O36" s="19" t="s">
        <v>1321</v>
      </c>
    </row>
    <row r="37" customFormat="false" ht="22.35" hidden="false" customHeight="false" outlineLevel="0" collapsed="false">
      <c r="A37" s="19" t="s">
        <v>1459</v>
      </c>
      <c r="B37" s="19" t="s">
        <v>272</v>
      </c>
      <c r="C37" s="19" t="str">
        <f aca="false">IFERROR(INDEX('Agent Roster'!$B:$B,MATCH(B37,'Agent Roster'!$A:$A,0)),"UNASSIGNED")</f>
        <v>Process Cartographer (Layer I.C Universal Process Registry)</v>
      </c>
      <c r="D37" s="19" t="str">
        <f aca="false">IFERROR(INDEX('Agent Roster'!$D:$D,MATCH(B37,'Agent Roster'!$A:$A,0)),"UNASSIGNED")</f>
        <v>Orchestration &amp; Diagnostics</v>
      </c>
      <c r="E37" s="19" t="s">
        <v>1448</v>
      </c>
      <c r="F37" s="19" t="s">
        <v>1460</v>
      </c>
      <c r="G37" s="19" t="s">
        <v>1315</v>
      </c>
      <c r="H37" s="19" t="s">
        <v>1450</v>
      </c>
      <c r="I37" s="19" t="s">
        <v>1461</v>
      </c>
      <c r="J37" s="19" t="s">
        <v>1452</v>
      </c>
      <c r="K37" s="19" t="s">
        <v>1335</v>
      </c>
      <c r="L37" s="19" t="s">
        <v>1336</v>
      </c>
      <c r="M37" s="19" t="s">
        <v>272</v>
      </c>
      <c r="N37" s="19"/>
      <c r="O37" s="19" t="s">
        <v>1321</v>
      </c>
    </row>
    <row r="38" customFormat="false" ht="22.35" hidden="false" customHeight="false" outlineLevel="0" collapsed="false">
      <c r="A38" s="19" t="s">
        <v>1462</v>
      </c>
      <c r="B38" s="19" t="s">
        <v>272</v>
      </c>
      <c r="C38" s="19" t="str">
        <f aca="false">IFERROR(INDEX('Agent Roster'!$B:$B,MATCH(B38,'Agent Roster'!$A:$A,0)),"UNASSIGNED")</f>
        <v>Process Cartographer (Layer I.C Universal Process Registry)</v>
      </c>
      <c r="D38" s="19" t="str">
        <f aca="false">IFERROR(INDEX('Agent Roster'!$D:$D,MATCH(B38,'Agent Roster'!$A:$A,0)),"UNASSIGNED")</f>
        <v>Orchestration &amp; Diagnostics</v>
      </c>
      <c r="E38" s="19" t="s">
        <v>1448</v>
      </c>
      <c r="F38" s="19" t="s">
        <v>1463</v>
      </c>
      <c r="G38" s="19" t="s">
        <v>1315</v>
      </c>
      <c r="H38" s="19" t="s">
        <v>1450</v>
      </c>
      <c r="I38" s="19" t="s">
        <v>1464</v>
      </c>
      <c r="J38" s="19" t="s">
        <v>1452</v>
      </c>
      <c r="K38" s="19" t="s">
        <v>1340</v>
      </c>
      <c r="L38" s="19" t="s">
        <v>1341</v>
      </c>
      <c r="M38" s="19" t="s">
        <v>272</v>
      </c>
      <c r="N38" s="19"/>
      <c r="O38" s="19" t="s">
        <v>1321</v>
      </c>
    </row>
    <row r="39" customFormat="false" ht="22.35" hidden="false" customHeight="false" outlineLevel="0" collapsed="false">
      <c r="A39" s="19" t="s">
        <v>1465</v>
      </c>
      <c r="B39" s="19" t="s">
        <v>272</v>
      </c>
      <c r="C39" s="19" t="str">
        <f aca="false">IFERROR(INDEX('Agent Roster'!$B:$B,MATCH(B39,'Agent Roster'!$A:$A,0)),"UNASSIGNED")</f>
        <v>Process Cartographer (Layer I.C Universal Process Registry)</v>
      </c>
      <c r="D39" s="19" t="str">
        <f aca="false">IFERROR(INDEX('Agent Roster'!$D:$D,MATCH(B39,'Agent Roster'!$A:$A,0)),"UNASSIGNED")</f>
        <v>Orchestration &amp; Diagnostics</v>
      </c>
      <c r="E39" s="19" t="s">
        <v>1448</v>
      </c>
      <c r="F39" s="19" t="s">
        <v>1466</v>
      </c>
      <c r="G39" s="19" t="s">
        <v>1315</v>
      </c>
      <c r="H39" s="19" t="s">
        <v>1450</v>
      </c>
      <c r="I39" s="19" t="s">
        <v>1467</v>
      </c>
      <c r="J39" s="19" t="s">
        <v>1452</v>
      </c>
      <c r="K39" s="19" t="s">
        <v>1345</v>
      </c>
      <c r="L39" s="19" t="s">
        <v>1346</v>
      </c>
      <c r="M39" s="19" t="s">
        <v>272</v>
      </c>
      <c r="N39" s="19"/>
      <c r="O39" s="19" t="s">
        <v>1321</v>
      </c>
    </row>
    <row r="40" customFormat="false" ht="22.35" hidden="false" customHeight="false" outlineLevel="0" collapsed="false">
      <c r="A40" s="19" t="s">
        <v>1468</v>
      </c>
      <c r="B40" s="19" t="s">
        <v>272</v>
      </c>
      <c r="C40" s="19" t="str">
        <f aca="false">IFERROR(INDEX('Agent Roster'!$B:$B,MATCH(B40,'Agent Roster'!$A:$A,0)),"UNASSIGNED")</f>
        <v>Process Cartographer (Layer I.C Universal Process Registry)</v>
      </c>
      <c r="D40" s="19" t="str">
        <f aca="false">IFERROR(INDEX('Agent Roster'!$D:$D,MATCH(B40,'Agent Roster'!$A:$A,0)),"UNASSIGNED")</f>
        <v>Orchestration &amp; Diagnostics</v>
      </c>
      <c r="E40" s="19" t="s">
        <v>1448</v>
      </c>
      <c r="F40" s="19" t="s">
        <v>1469</v>
      </c>
      <c r="G40" s="19" t="s">
        <v>1315</v>
      </c>
      <c r="H40" s="19" t="s">
        <v>1450</v>
      </c>
      <c r="I40" s="19" t="s">
        <v>1470</v>
      </c>
      <c r="J40" s="19" t="s">
        <v>1452</v>
      </c>
      <c r="K40" s="19" t="s">
        <v>1350</v>
      </c>
      <c r="L40" s="19" t="s">
        <v>1376</v>
      </c>
      <c r="M40" s="19" t="s">
        <v>1377</v>
      </c>
      <c r="N40" s="19"/>
      <c r="O40" s="19" t="s">
        <v>1321</v>
      </c>
    </row>
    <row r="41" customFormat="false" ht="22.35" hidden="false" customHeight="false" outlineLevel="0" collapsed="false">
      <c r="A41" s="19" t="s">
        <v>1471</v>
      </c>
      <c r="B41" s="19" t="s">
        <v>220</v>
      </c>
      <c r="C41" s="19" t="str">
        <f aca="false">IFERROR(INDEX('Agent Roster'!$B:$B,MATCH(B41,'Agent Roster'!$A:$A,0)),"UNASSIGNED")</f>
        <v>Dynamic Middle Balancer (Layer I.D)</v>
      </c>
      <c r="D41" s="19" t="str">
        <f aca="false">IFERROR(INDEX('Agent Roster'!$D:$D,MATCH(B41,'Agent Roster'!$A:$A,0)),"UNASSIGNED")</f>
        <v>Orchestration &amp; Diagnostics</v>
      </c>
      <c r="E41" s="19" t="s">
        <v>1472</v>
      </c>
      <c r="F41" s="19" t="s">
        <v>1473</v>
      </c>
      <c r="G41" s="19" t="s">
        <v>1315</v>
      </c>
      <c r="H41" s="19" t="s">
        <v>1474</v>
      </c>
      <c r="I41" s="19" t="s">
        <v>1475</v>
      </c>
      <c r="J41" s="19" t="s">
        <v>1476</v>
      </c>
      <c r="K41" s="19" t="s">
        <v>1319</v>
      </c>
      <c r="L41" s="19" t="s">
        <v>1320</v>
      </c>
      <c r="M41" s="19" t="s">
        <v>220</v>
      </c>
      <c r="N41" s="19"/>
      <c r="O41" s="19" t="s">
        <v>1321</v>
      </c>
    </row>
    <row r="42" customFormat="false" ht="22.35" hidden="false" customHeight="false" outlineLevel="0" collapsed="false">
      <c r="A42" s="19" t="s">
        <v>1477</v>
      </c>
      <c r="B42" s="19" t="s">
        <v>220</v>
      </c>
      <c r="C42" s="19" t="str">
        <f aca="false">IFERROR(INDEX('Agent Roster'!$B:$B,MATCH(B42,'Agent Roster'!$A:$A,0)),"UNASSIGNED")</f>
        <v>Dynamic Middle Balancer (Layer I.D)</v>
      </c>
      <c r="D42" s="19" t="str">
        <f aca="false">IFERROR(INDEX('Agent Roster'!$D:$D,MATCH(B42,'Agent Roster'!$A:$A,0)),"UNASSIGNED")</f>
        <v>Orchestration &amp; Diagnostics</v>
      </c>
      <c r="E42" s="19" t="s">
        <v>1472</v>
      </c>
      <c r="F42" s="19" t="s">
        <v>1478</v>
      </c>
      <c r="G42" s="19" t="s">
        <v>1315</v>
      </c>
      <c r="H42" s="19" t="s">
        <v>1474</v>
      </c>
      <c r="I42" s="19" t="s">
        <v>1479</v>
      </c>
      <c r="J42" s="19" t="s">
        <v>1476</v>
      </c>
      <c r="K42" s="19" t="s">
        <v>1325</v>
      </c>
      <c r="L42" s="19" t="s">
        <v>1326</v>
      </c>
      <c r="M42" s="19" t="s">
        <v>220</v>
      </c>
      <c r="N42" s="19"/>
      <c r="O42" s="19" t="s">
        <v>1321</v>
      </c>
    </row>
    <row r="43" customFormat="false" ht="22.35" hidden="false" customHeight="false" outlineLevel="0" collapsed="false">
      <c r="A43" s="19" t="s">
        <v>1480</v>
      </c>
      <c r="B43" s="19" t="s">
        <v>220</v>
      </c>
      <c r="C43" s="19" t="str">
        <f aca="false">IFERROR(INDEX('Agent Roster'!$B:$B,MATCH(B43,'Agent Roster'!$A:$A,0)),"UNASSIGNED")</f>
        <v>Dynamic Middle Balancer (Layer I.D)</v>
      </c>
      <c r="D43" s="19" t="str">
        <f aca="false">IFERROR(INDEX('Agent Roster'!$D:$D,MATCH(B43,'Agent Roster'!$A:$A,0)),"UNASSIGNED")</f>
        <v>Orchestration &amp; Diagnostics</v>
      </c>
      <c r="E43" s="19" t="s">
        <v>1472</v>
      </c>
      <c r="F43" s="19" t="s">
        <v>1481</v>
      </c>
      <c r="G43" s="19" t="s">
        <v>1315</v>
      </c>
      <c r="H43" s="19" t="s">
        <v>1474</v>
      </c>
      <c r="I43" s="19" t="s">
        <v>1482</v>
      </c>
      <c r="J43" s="19" t="s">
        <v>1476</v>
      </c>
      <c r="K43" s="19" t="s">
        <v>1330</v>
      </c>
      <c r="L43" s="19" t="s">
        <v>1331</v>
      </c>
      <c r="M43" s="19" t="s">
        <v>220</v>
      </c>
      <c r="N43" s="19"/>
      <c r="O43" s="19" t="s">
        <v>1321</v>
      </c>
    </row>
    <row r="44" customFormat="false" ht="22.35" hidden="false" customHeight="false" outlineLevel="0" collapsed="false">
      <c r="A44" s="19" t="s">
        <v>1483</v>
      </c>
      <c r="B44" s="19" t="s">
        <v>220</v>
      </c>
      <c r="C44" s="19" t="str">
        <f aca="false">IFERROR(INDEX('Agent Roster'!$B:$B,MATCH(B44,'Agent Roster'!$A:$A,0)),"UNASSIGNED")</f>
        <v>Dynamic Middle Balancer (Layer I.D)</v>
      </c>
      <c r="D44" s="19" t="str">
        <f aca="false">IFERROR(INDEX('Agent Roster'!$D:$D,MATCH(B44,'Agent Roster'!$A:$A,0)),"UNASSIGNED")</f>
        <v>Orchestration &amp; Diagnostics</v>
      </c>
      <c r="E44" s="19" t="s">
        <v>1472</v>
      </c>
      <c r="F44" s="19" t="s">
        <v>1484</v>
      </c>
      <c r="G44" s="19" t="s">
        <v>1315</v>
      </c>
      <c r="H44" s="19" t="s">
        <v>1474</v>
      </c>
      <c r="I44" s="19" t="s">
        <v>1485</v>
      </c>
      <c r="J44" s="19" t="s">
        <v>1476</v>
      </c>
      <c r="K44" s="19" t="s">
        <v>1335</v>
      </c>
      <c r="L44" s="19" t="s">
        <v>1336</v>
      </c>
      <c r="M44" s="19" t="s">
        <v>220</v>
      </c>
      <c r="N44" s="19"/>
      <c r="O44" s="19" t="s">
        <v>1321</v>
      </c>
    </row>
    <row r="45" customFormat="false" ht="22.35" hidden="false" customHeight="false" outlineLevel="0" collapsed="false">
      <c r="A45" s="19" t="s">
        <v>1486</v>
      </c>
      <c r="B45" s="19" t="s">
        <v>220</v>
      </c>
      <c r="C45" s="19" t="str">
        <f aca="false">IFERROR(INDEX('Agent Roster'!$B:$B,MATCH(B45,'Agent Roster'!$A:$A,0)),"UNASSIGNED")</f>
        <v>Dynamic Middle Balancer (Layer I.D)</v>
      </c>
      <c r="D45" s="19" t="str">
        <f aca="false">IFERROR(INDEX('Agent Roster'!$D:$D,MATCH(B45,'Agent Roster'!$A:$A,0)),"UNASSIGNED")</f>
        <v>Orchestration &amp; Diagnostics</v>
      </c>
      <c r="E45" s="19" t="s">
        <v>1472</v>
      </c>
      <c r="F45" s="19" t="s">
        <v>1487</v>
      </c>
      <c r="G45" s="19" t="s">
        <v>1315</v>
      </c>
      <c r="H45" s="19" t="s">
        <v>1474</v>
      </c>
      <c r="I45" s="19" t="s">
        <v>1488</v>
      </c>
      <c r="J45" s="19" t="s">
        <v>1476</v>
      </c>
      <c r="K45" s="19" t="s">
        <v>1340</v>
      </c>
      <c r="L45" s="19" t="s">
        <v>1341</v>
      </c>
      <c r="M45" s="19" t="s">
        <v>220</v>
      </c>
      <c r="N45" s="19"/>
      <c r="O45" s="19" t="s">
        <v>1321</v>
      </c>
    </row>
    <row r="46" customFormat="false" ht="22.35" hidden="false" customHeight="false" outlineLevel="0" collapsed="false">
      <c r="A46" s="19" t="s">
        <v>1489</v>
      </c>
      <c r="B46" s="19" t="s">
        <v>220</v>
      </c>
      <c r="C46" s="19" t="str">
        <f aca="false">IFERROR(INDEX('Agent Roster'!$B:$B,MATCH(B46,'Agent Roster'!$A:$A,0)),"UNASSIGNED")</f>
        <v>Dynamic Middle Balancer (Layer I.D)</v>
      </c>
      <c r="D46" s="19" t="str">
        <f aca="false">IFERROR(INDEX('Agent Roster'!$D:$D,MATCH(B46,'Agent Roster'!$A:$A,0)),"UNASSIGNED")</f>
        <v>Orchestration &amp; Diagnostics</v>
      </c>
      <c r="E46" s="19" t="s">
        <v>1472</v>
      </c>
      <c r="F46" s="19" t="s">
        <v>1490</v>
      </c>
      <c r="G46" s="19" t="s">
        <v>1315</v>
      </c>
      <c r="H46" s="19" t="s">
        <v>1474</v>
      </c>
      <c r="I46" s="19" t="s">
        <v>1491</v>
      </c>
      <c r="J46" s="19" t="s">
        <v>1476</v>
      </c>
      <c r="K46" s="19" t="s">
        <v>1345</v>
      </c>
      <c r="L46" s="19" t="s">
        <v>1346</v>
      </c>
      <c r="M46" s="19" t="s">
        <v>220</v>
      </c>
      <c r="N46" s="19"/>
      <c r="O46" s="19" t="s">
        <v>1321</v>
      </c>
    </row>
    <row r="47" customFormat="false" ht="22.35" hidden="false" customHeight="false" outlineLevel="0" collapsed="false">
      <c r="A47" s="19" t="s">
        <v>1492</v>
      </c>
      <c r="B47" s="19" t="s">
        <v>220</v>
      </c>
      <c r="C47" s="19" t="str">
        <f aca="false">IFERROR(INDEX('Agent Roster'!$B:$B,MATCH(B47,'Agent Roster'!$A:$A,0)),"UNASSIGNED")</f>
        <v>Dynamic Middle Balancer (Layer I.D)</v>
      </c>
      <c r="D47" s="19" t="str">
        <f aca="false">IFERROR(INDEX('Agent Roster'!$D:$D,MATCH(B47,'Agent Roster'!$A:$A,0)),"UNASSIGNED")</f>
        <v>Orchestration &amp; Diagnostics</v>
      </c>
      <c r="E47" s="19" t="s">
        <v>1472</v>
      </c>
      <c r="F47" s="19" t="s">
        <v>1493</v>
      </c>
      <c r="G47" s="19" t="s">
        <v>1315</v>
      </c>
      <c r="H47" s="19" t="s">
        <v>1474</v>
      </c>
      <c r="I47" s="19" t="s">
        <v>1494</v>
      </c>
      <c r="J47" s="19" t="s">
        <v>1476</v>
      </c>
      <c r="K47" s="19" t="s">
        <v>1350</v>
      </c>
      <c r="L47" s="19" t="s">
        <v>1351</v>
      </c>
      <c r="M47" s="19" t="s">
        <v>220</v>
      </c>
      <c r="N47" s="19"/>
      <c r="O47" s="19" t="s">
        <v>1321</v>
      </c>
    </row>
    <row r="48" customFormat="false" ht="22.35" hidden="false" customHeight="false" outlineLevel="0" collapsed="false">
      <c r="A48" s="19" t="s">
        <v>1495</v>
      </c>
      <c r="B48" s="19" t="s">
        <v>220</v>
      </c>
      <c r="C48" s="19" t="str">
        <f aca="false">IFERROR(INDEX('Agent Roster'!$B:$B,MATCH(B48,'Agent Roster'!$A:$A,0)),"UNASSIGNED")</f>
        <v>Dynamic Middle Balancer (Layer I.D)</v>
      </c>
      <c r="D48" s="19" t="str">
        <f aca="false">IFERROR(INDEX('Agent Roster'!$D:$D,MATCH(B48,'Agent Roster'!$A:$A,0)),"UNASSIGNED")</f>
        <v>Orchestration &amp; Diagnostics</v>
      </c>
      <c r="E48" s="19" t="s">
        <v>1472</v>
      </c>
      <c r="F48" s="19" t="s">
        <v>1496</v>
      </c>
      <c r="G48" s="19" t="s">
        <v>1315</v>
      </c>
      <c r="H48" s="19" t="s">
        <v>1474</v>
      </c>
      <c r="I48" s="19" t="s">
        <v>1497</v>
      </c>
      <c r="J48" s="19" t="s">
        <v>1476</v>
      </c>
      <c r="K48" s="19" t="s">
        <v>1355</v>
      </c>
      <c r="L48" s="19" t="s">
        <v>1376</v>
      </c>
      <c r="M48" s="19" t="s">
        <v>1377</v>
      </c>
      <c r="N48" s="19"/>
      <c r="O48" s="19" t="s">
        <v>1321</v>
      </c>
    </row>
    <row r="49" customFormat="false" ht="22.35" hidden="false" customHeight="false" outlineLevel="0" collapsed="false">
      <c r="A49" s="19" t="s">
        <v>1498</v>
      </c>
      <c r="B49" s="19" t="s">
        <v>230</v>
      </c>
      <c r="C49" s="19" t="str">
        <f aca="false">IFERROR(INDEX('Agent Roster'!$B:$B,MATCH(B49,'Agent Roster'!$A:$A,0)),"UNASSIGNED")</f>
        <v>Momentum &amp; Energy Continuation Agent (Layer I.E)</v>
      </c>
      <c r="D49" s="19" t="str">
        <f aca="false">IFERROR(INDEX('Agent Roster'!$D:$D,MATCH(B49,'Agent Roster'!$A:$A,0)),"UNASSIGNED")</f>
        <v>Orchestration &amp; Diagnostics</v>
      </c>
      <c r="E49" s="19" t="s">
        <v>1499</v>
      </c>
      <c r="F49" s="19" t="s">
        <v>1500</v>
      </c>
      <c r="G49" s="19" t="s">
        <v>1315</v>
      </c>
      <c r="H49" s="19" t="s">
        <v>1501</v>
      </c>
      <c r="I49" s="19" t="s">
        <v>1502</v>
      </c>
      <c r="J49" s="19" t="s">
        <v>1503</v>
      </c>
      <c r="K49" s="19" t="s">
        <v>1319</v>
      </c>
      <c r="L49" s="19" t="s">
        <v>1320</v>
      </c>
      <c r="M49" s="19" t="s">
        <v>230</v>
      </c>
      <c r="N49" s="19"/>
      <c r="O49" s="19" t="s">
        <v>1321</v>
      </c>
    </row>
    <row r="50" customFormat="false" ht="22.35" hidden="false" customHeight="false" outlineLevel="0" collapsed="false">
      <c r="A50" s="19" t="s">
        <v>1504</v>
      </c>
      <c r="B50" s="19" t="s">
        <v>230</v>
      </c>
      <c r="C50" s="19" t="str">
        <f aca="false">IFERROR(INDEX('Agent Roster'!$B:$B,MATCH(B50,'Agent Roster'!$A:$A,0)),"UNASSIGNED")</f>
        <v>Momentum &amp; Energy Continuation Agent (Layer I.E)</v>
      </c>
      <c r="D50" s="19" t="str">
        <f aca="false">IFERROR(INDEX('Agent Roster'!$D:$D,MATCH(B50,'Agent Roster'!$A:$A,0)),"UNASSIGNED")</f>
        <v>Orchestration &amp; Diagnostics</v>
      </c>
      <c r="E50" s="19" t="s">
        <v>1499</v>
      </c>
      <c r="F50" s="19" t="s">
        <v>1505</v>
      </c>
      <c r="G50" s="19" t="s">
        <v>1315</v>
      </c>
      <c r="H50" s="19" t="s">
        <v>1501</v>
      </c>
      <c r="I50" s="19" t="s">
        <v>1506</v>
      </c>
      <c r="J50" s="19" t="s">
        <v>1503</v>
      </c>
      <c r="K50" s="19" t="s">
        <v>1325</v>
      </c>
      <c r="L50" s="19" t="s">
        <v>1326</v>
      </c>
      <c r="M50" s="19" t="s">
        <v>230</v>
      </c>
      <c r="N50" s="19"/>
      <c r="O50" s="19" t="s">
        <v>1321</v>
      </c>
    </row>
    <row r="51" customFormat="false" ht="22.35" hidden="false" customHeight="false" outlineLevel="0" collapsed="false">
      <c r="A51" s="19" t="s">
        <v>1507</v>
      </c>
      <c r="B51" s="19" t="s">
        <v>230</v>
      </c>
      <c r="C51" s="19" t="str">
        <f aca="false">IFERROR(INDEX('Agent Roster'!$B:$B,MATCH(B51,'Agent Roster'!$A:$A,0)),"UNASSIGNED")</f>
        <v>Momentum &amp; Energy Continuation Agent (Layer I.E)</v>
      </c>
      <c r="D51" s="19" t="str">
        <f aca="false">IFERROR(INDEX('Agent Roster'!$D:$D,MATCH(B51,'Agent Roster'!$A:$A,0)),"UNASSIGNED")</f>
        <v>Orchestration &amp; Diagnostics</v>
      </c>
      <c r="E51" s="19" t="s">
        <v>1499</v>
      </c>
      <c r="F51" s="19" t="s">
        <v>1508</v>
      </c>
      <c r="G51" s="19" t="s">
        <v>1315</v>
      </c>
      <c r="H51" s="19" t="s">
        <v>1501</v>
      </c>
      <c r="I51" s="19" t="s">
        <v>1509</v>
      </c>
      <c r="J51" s="19" t="s">
        <v>1503</v>
      </c>
      <c r="K51" s="19" t="s">
        <v>1330</v>
      </c>
      <c r="L51" s="19" t="s">
        <v>1331</v>
      </c>
      <c r="M51" s="19" t="s">
        <v>230</v>
      </c>
      <c r="N51" s="19"/>
      <c r="O51" s="19" t="s">
        <v>1321</v>
      </c>
    </row>
    <row r="52" customFormat="false" ht="22.35" hidden="false" customHeight="false" outlineLevel="0" collapsed="false">
      <c r="A52" s="19" t="s">
        <v>1510</v>
      </c>
      <c r="B52" s="19" t="s">
        <v>230</v>
      </c>
      <c r="C52" s="19" t="str">
        <f aca="false">IFERROR(INDEX('Agent Roster'!$B:$B,MATCH(B52,'Agent Roster'!$A:$A,0)),"UNASSIGNED")</f>
        <v>Momentum &amp; Energy Continuation Agent (Layer I.E)</v>
      </c>
      <c r="D52" s="19" t="str">
        <f aca="false">IFERROR(INDEX('Agent Roster'!$D:$D,MATCH(B52,'Agent Roster'!$A:$A,0)),"UNASSIGNED")</f>
        <v>Orchestration &amp; Diagnostics</v>
      </c>
      <c r="E52" s="19" t="s">
        <v>1499</v>
      </c>
      <c r="F52" s="19" t="s">
        <v>1511</v>
      </c>
      <c r="G52" s="19" t="s">
        <v>1315</v>
      </c>
      <c r="H52" s="19" t="s">
        <v>1501</v>
      </c>
      <c r="I52" s="19" t="s">
        <v>1512</v>
      </c>
      <c r="J52" s="19" t="s">
        <v>1503</v>
      </c>
      <c r="K52" s="19" t="s">
        <v>1335</v>
      </c>
      <c r="L52" s="19" t="s">
        <v>1336</v>
      </c>
      <c r="M52" s="19" t="s">
        <v>230</v>
      </c>
      <c r="N52" s="19"/>
      <c r="O52" s="19" t="s">
        <v>1321</v>
      </c>
    </row>
    <row r="53" customFormat="false" ht="32.8" hidden="false" customHeight="false" outlineLevel="0" collapsed="false">
      <c r="A53" s="19" t="s">
        <v>1513</v>
      </c>
      <c r="B53" s="19" t="s">
        <v>230</v>
      </c>
      <c r="C53" s="19" t="str">
        <f aca="false">IFERROR(INDEX('Agent Roster'!$B:$B,MATCH(B53,'Agent Roster'!$A:$A,0)),"UNASSIGNED")</f>
        <v>Momentum &amp; Energy Continuation Agent (Layer I.E)</v>
      </c>
      <c r="D53" s="19" t="str">
        <f aca="false">IFERROR(INDEX('Agent Roster'!$D:$D,MATCH(B53,'Agent Roster'!$A:$A,0)),"UNASSIGNED")</f>
        <v>Orchestration &amp; Diagnostics</v>
      </c>
      <c r="E53" s="19" t="s">
        <v>1499</v>
      </c>
      <c r="F53" s="19" t="s">
        <v>1514</v>
      </c>
      <c r="G53" s="19" t="s">
        <v>1315</v>
      </c>
      <c r="H53" s="19" t="s">
        <v>1501</v>
      </c>
      <c r="I53" s="19" t="s">
        <v>1515</v>
      </c>
      <c r="J53" s="19" t="s">
        <v>1503</v>
      </c>
      <c r="K53" s="19" t="s">
        <v>1340</v>
      </c>
      <c r="L53" s="19" t="s">
        <v>1341</v>
      </c>
      <c r="M53" s="19" t="s">
        <v>230</v>
      </c>
      <c r="N53" s="19"/>
      <c r="O53" s="19" t="s">
        <v>1321</v>
      </c>
    </row>
    <row r="54" customFormat="false" ht="22.35" hidden="false" customHeight="false" outlineLevel="0" collapsed="false">
      <c r="A54" s="19" t="s">
        <v>1516</v>
      </c>
      <c r="B54" s="19" t="s">
        <v>230</v>
      </c>
      <c r="C54" s="19" t="str">
        <f aca="false">IFERROR(INDEX('Agent Roster'!$B:$B,MATCH(B54,'Agent Roster'!$A:$A,0)),"UNASSIGNED")</f>
        <v>Momentum &amp; Energy Continuation Agent (Layer I.E)</v>
      </c>
      <c r="D54" s="19" t="str">
        <f aca="false">IFERROR(INDEX('Agent Roster'!$D:$D,MATCH(B54,'Agent Roster'!$A:$A,0)),"UNASSIGNED")</f>
        <v>Orchestration &amp; Diagnostics</v>
      </c>
      <c r="E54" s="19" t="s">
        <v>1499</v>
      </c>
      <c r="F54" s="19" t="s">
        <v>1517</v>
      </c>
      <c r="G54" s="19" t="s">
        <v>1315</v>
      </c>
      <c r="H54" s="19" t="s">
        <v>1501</v>
      </c>
      <c r="I54" s="19" t="s">
        <v>1518</v>
      </c>
      <c r="J54" s="19" t="s">
        <v>1503</v>
      </c>
      <c r="K54" s="19" t="s">
        <v>1345</v>
      </c>
      <c r="L54" s="19" t="s">
        <v>1346</v>
      </c>
      <c r="M54" s="19" t="s">
        <v>230</v>
      </c>
      <c r="N54" s="19"/>
      <c r="O54" s="19" t="s">
        <v>1321</v>
      </c>
    </row>
    <row r="55" customFormat="false" ht="22.35" hidden="false" customHeight="false" outlineLevel="0" collapsed="false">
      <c r="A55" s="19" t="s">
        <v>1519</v>
      </c>
      <c r="B55" s="19" t="s">
        <v>230</v>
      </c>
      <c r="C55" s="19" t="str">
        <f aca="false">IFERROR(INDEX('Agent Roster'!$B:$B,MATCH(B55,'Agent Roster'!$A:$A,0)),"UNASSIGNED")</f>
        <v>Momentum &amp; Energy Continuation Agent (Layer I.E)</v>
      </c>
      <c r="D55" s="19" t="str">
        <f aca="false">IFERROR(INDEX('Agent Roster'!$D:$D,MATCH(B55,'Agent Roster'!$A:$A,0)),"UNASSIGNED")</f>
        <v>Orchestration &amp; Diagnostics</v>
      </c>
      <c r="E55" s="19" t="s">
        <v>1499</v>
      </c>
      <c r="F55" s="19" t="s">
        <v>1520</v>
      </c>
      <c r="G55" s="19" t="s">
        <v>1315</v>
      </c>
      <c r="H55" s="19" t="s">
        <v>1501</v>
      </c>
      <c r="I55" s="19" t="s">
        <v>1521</v>
      </c>
      <c r="J55" s="19" t="s">
        <v>1503</v>
      </c>
      <c r="K55" s="19" t="s">
        <v>1350</v>
      </c>
      <c r="L55" s="19" t="s">
        <v>1351</v>
      </c>
      <c r="M55" s="19" t="s">
        <v>230</v>
      </c>
      <c r="N55" s="19"/>
      <c r="O55" s="19" t="s">
        <v>1321</v>
      </c>
    </row>
    <row r="56" customFormat="false" ht="22.35" hidden="false" customHeight="false" outlineLevel="0" collapsed="false">
      <c r="A56" s="19" t="s">
        <v>1522</v>
      </c>
      <c r="B56" s="19" t="s">
        <v>230</v>
      </c>
      <c r="C56" s="19" t="str">
        <f aca="false">IFERROR(INDEX('Agent Roster'!$B:$B,MATCH(B56,'Agent Roster'!$A:$A,0)),"UNASSIGNED")</f>
        <v>Momentum &amp; Energy Continuation Agent (Layer I.E)</v>
      </c>
      <c r="D56" s="19" t="str">
        <f aca="false">IFERROR(INDEX('Agent Roster'!$D:$D,MATCH(B56,'Agent Roster'!$A:$A,0)),"UNASSIGNED")</f>
        <v>Orchestration &amp; Diagnostics</v>
      </c>
      <c r="E56" s="19" t="s">
        <v>1499</v>
      </c>
      <c r="F56" s="19" t="s">
        <v>1523</v>
      </c>
      <c r="G56" s="19" t="s">
        <v>1315</v>
      </c>
      <c r="H56" s="19" t="s">
        <v>1501</v>
      </c>
      <c r="I56" s="19" t="s">
        <v>1524</v>
      </c>
      <c r="J56" s="19" t="s">
        <v>1503</v>
      </c>
      <c r="K56" s="19" t="s">
        <v>1355</v>
      </c>
      <c r="L56" s="19" t="s">
        <v>1376</v>
      </c>
      <c r="M56" s="19" t="s">
        <v>1377</v>
      </c>
      <c r="N56" s="19"/>
      <c r="O56" s="19" t="s">
        <v>1321</v>
      </c>
    </row>
    <row r="57" customFormat="false" ht="22.35" hidden="false" customHeight="false" outlineLevel="0" collapsed="false">
      <c r="A57" s="19" t="s">
        <v>1525</v>
      </c>
      <c r="B57" s="19" t="s">
        <v>240</v>
      </c>
      <c r="C57" s="19" t="str">
        <f aca="false">IFERROR(INDEX('Agent Roster'!$B:$B,MATCH(B57,'Agent Roster'!$A:$A,0)),"UNASSIGNED")</f>
        <v>Observation &amp; Persistence Agent (Layer I.F)</v>
      </c>
      <c r="D57" s="19" t="str">
        <f aca="false">IFERROR(INDEX('Agent Roster'!$D:$D,MATCH(B57,'Agent Roster'!$A:$A,0)),"UNASSIGNED")</f>
        <v>Orchestration &amp; Diagnostics</v>
      </c>
      <c r="E57" s="19" t="s">
        <v>1526</v>
      </c>
      <c r="F57" s="19" t="s">
        <v>1527</v>
      </c>
      <c r="G57" s="19" t="s">
        <v>1315</v>
      </c>
      <c r="H57" s="19" t="s">
        <v>1528</v>
      </c>
      <c r="I57" s="19" t="s">
        <v>1529</v>
      </c>
      <c r="J57" s="19" t="s">
        <v>1530</v>
      </c>
      <c r="K57" s="19" t="s">
        <v>1319</v>
      </c>
      <c r="L57" s="19" t="s">
        <v>1320</v>
      </c>
      <c r="M57" s="19" t="s">
        <v>240</v>
      </c>
      <c r="N57" s="19"/>
      <c r="O57" s="19" t="s">
        <v>1321</v>
      </c>
    </row>
    <row r="58" customFormat="false" ht="32.8" hidden="false" customHeight="false" outlineLevel="0" collapsed="false">
      <c r="A58" s="19" t="s">
        <v>1531</v>
      </c>
      <c r="B58" s="19" t="s">
        <v>240</v>
      </c>
      <c r="C58" s="19" t="str">
        <f aca="false">IFERROR(INDEX('Agent Roster'!$B:$B,MATCH(B58,'Agent Roster'!$A:$A,0)),"UNASSIGNED")</f>
        <v>Observation &amp; Persistence Agent (Layer I.F)</v>
      </c>
      <c r="D58" s="19" t="str">
        <f aca="false">IFERROR(INDEX('Agent Roster'!$D:$D,MATCH(B58,'Agent Roster'!$A:$A,0)),"UNASSIGNED")</f>
        <v>Orchestration &amp; Diagnostics</v>
      </c>
      <c r="E58" s="19" t="s">
        <v>1526</v>
      </c>
      <c r="F58" s="19" t="s">
        <v>1532</v>
      </c>
      <c r="G58" s="19" t="s">
        <v>1315</v>
      </c>
      <c r="H58" s="19" t="s">
        <v>1528</v>
      </c>
      <c r="I58" s="19" t="s">
        <v>1533</v>
      </c>
      <c r="J58" s="19" t="s">
        <v>1530</v>
      </c>
      <c r="K58" s="19" t="s">
        <v>1325</v>
      </c>
      <c r="L58" s="19" t="s">
        <v>1326</v>
      </c>
      <c r="M58" s="19" t="s">
        <v>240</v>
      </c>
      <c r="N58" s="19"/>
      <c r="O58" s="19" t="s">
        <v>1321</v>
      </c>
    </row>
    <row r="59" customFormat="false" ht="22.35" hidden="false" customHeight="false" outlineLevel="0" collapsed="false">
      <c r="A59" s="19" t="s">
        <v>1534</v>
      </c>
      <c r="B59" s="19" t="s">
        <v>240</v>
      </c>
      <c r="C59" s="19" t="str">
        <f aca="false">IFERROR(INDEX('Agent Roster'!$B:$B,MATCH(B59,'Agent Roster'!$A:$A,0)),"UNASSIGNED")</f>
        <v>Observation &amp; Persistence Agent (Layer I.F)</v>
      </c>
      <c r="D59" s="19" t="str">
        <f aca="false">IFERROR(INDEX('Agent Roster'!$D:$D,MATCH(B59,'Agent Roster'!$A:$A,0)),"UNASSIGNED")</f>
        <v>Orchestration &amp; Diagnostics</v>
      </c>
      <c r="E59" s="19" t="s">
        <v>1526</v>
      </c>
      <c r="F59" s="19" t="s">
        <v>1535</v>
      </c>
      <c r="G59" s="19" t="s">
        <v>1315</v>
      </c>
      <c r="H59" s="19" t="s">
        <v>1528</v>
      </c>
      <c r="I59" s="19" t="s">
        <v>1536</v>
      </c>
      <c r="J59" s="19" t="s">
        <v>1530</v>
      </c>
      <c r="K59" s="19" t="s">
        <v>1330</v>
      </c>
      <c r="L59" s="19" t="s">
        <v>1331</v>
      </c>
      <c r="M59" s="19" t="s">
        <v>240</v>
      </c>
      <c r="N59" s="19"/>
      <c r="O59" s="19" t="s">
        <v>1321</v>
      </c>
    </row>
    <row r="60" customFormat="false" ht="22.35" hidden="false" customHeight="false" outlineLevel="0" collapsed="false">
      <c r="A60" s="19" t="s">
        <v>1537</v>
      </c>
      <c r="B60" s="19" t="s">
        <v>240</v>
      </c>
      <c r="C60" s="19" t="str">
        <f aca="false">IFERROR(INDEX('Agent Roster'!$B:$B,MATCH(B60,'Agent Roster'!$A:$A,0)),"UNASSIGNED")</f>
        <v>Observation &amp; Persistence Agent (Layer I.F)</v>
      </c>
      <c r="D60" s="19" t="str">
        <f aca="false">IFERROR(INDEX('Agent Roster'!$D:$D,MATCH(B60,'Agent Roster'!$A:$A,0)),"UNASSIGNED")</f>
        <v>Orchestration &amp; Diagnostics</v>
      </c>
      <c r="E60" s="19" t="s">
        <v>1526</v>
      </c>
      <c r="F60" s="19" t="s">
        <v>1538</v>
      </c>
      <c r="G60" s="19" t="s">
        <v>1315</v>
      </c>
      <c r="H60" s="19" t="s">
        <v>1528</v>
      </c>
      <c r="I60" s="19" t="s">
        <v>1539</v>
      </c>
      <c r="J60" s="19" t="s">
        <v>1530</v>
      </c>
      <c r="K60" s="19" t="s">
        <v>1335</v>
      </c>
      <c r="L60" s="19" t="s">
        <v>1336</v>
      </c>
      <c r="M60" s="19" t="s">
        <v>240</v>
      </c>
      <c r="N60" s="19"/>
      <c r="O60" s="19" t="s">
        <v>1321</v>
      </c>
    </row>
    <row r="61" customFormat="false" ht="32.8" hidden="false" customHeight="false" outlineLevel="0" collapsed="false">
      <c r="A61" s="19" t="s">
        <v>1540</v>
      </c>
      <c r="B61" s="19" t="s">
        <v>240</v>
      </c>
      <c r="C61" s="19" t="str">
        <f aca="false">IFERROR(INDEX('Agent Roster'!$B:$B,MATCH(B61,'Agent Roster'!$A:$A,0)),"UNASSIGNED")</f>
        <v>Observation &amp; Persistence Agent (Layer I.F)</v>
      </c>
      <c r="D61" s="19" t="str">
        <f aca="false">IFERROR(INDEX('Agent Roster'!$D:$D,MATCH(B61,'Agent Roster'!$A:$A,0)),"UNASSIGNED")</f>
        <v>Orchestration &amp; Diagnostics</v>
      </c>
      <c r="E61" s="19" t="s">
        <v>1526</v>
      </c>
      <c r="F61" s="19" t="s">
        <v>1541</v>
      </c>
      <c r="G61" s="19" t="s">
        <v>1315</v>
      </c>
      <c r="H61" s="19" t="s">
        <v>1528</v>
      </c>
      <c r="I61" s="19" t="s">
        <v>1542</v>
      </c>
      <c r="J61" s="19" t="s">
        <v>1530</v>
      </c>
      <c r="K61" s="19" t="s">
        <v>1340</v>
      </c>
      <c r="L61" s="19" t="s">
        <v>1341</v>
      </c>
      <c r="M61" s="19" t="s">
        <v>240</v>
      </c>
      <c r="N61" s="19"/>
      <c r="O61" s="19" t="s">
        <v>1321</v>
      </c>
    </row>
    <row r="62" customFormat="false" ht="22.35" hidden="false" customHeight="false" outlineLevel="0" collapsed="false">
      <c r="A62" s="19" t="s">
        <v>1543</v>
      </c>
      <c r="B62" s="19" t="s">
        <v>240</v>
      </c>
      <c r="C62" s="19" t="str">
        <f aca="false">IFERROR(INDEX('Agent Roster'!$B:$B,MATCH(B62,'Agent Roster'!$A:$A,0)),"UNASSIGNED")</f>
        <v>Observation &amp; Persistence Agent (Layer I.F)</v>
      </c>
      <c r="D62" s="19" t="str">
        <f aca="false">IFERROR(INDEX('Agent Roster'!$D:$D,MATCH(B62,'Agent Roster'!$A:$A,0)),"UNASSIGNED")</f>
        <v>Orchestration &amp; Diagnostics</v>
      </c>
      <c r="E62" s="19" t="s">
        <v>1526</v>
      </c>
      <c r="F62" s="19" t="s">
        <v>1544</v>
      </c>
      <c r="G62" s="19" t="s">
        <v>1315</v>
      </c>
      <c r="H62" s="19" t="s">
        <v>1528</v>
      </c>
      <c r="I62" s="19" t="s">
        <v>1545</v>
      </c>
      <c r="J62" s="19" t="s">
        <v>1530</v>
      </c>
      <c r="K62" s="19" t="s">
        <v>1345</v>
      </c>
      <c r="L62" s="19" t="s">
        <v>1346</v>
      </c>
      <c r="M62" s="19" t="s">
        <v>240</v>
      </c>
      <c r="N62" s="19"/>
      <c r="O62" s="19" t="s">
        <v>1321</v>
      </c>
    </row>
    <row r="63" customFormat="false" ht="22.35" hidden="false" customHeight="false" outlineLevel="0" collapsed="false">
      <c r="A63" s="19" t="s">
        <v>1546</v>
      </c>
      <c r="B63" s="19" t="s">
        <v>240</v>
      </c>
      <c r="C63" s="19" t="str">
        <f aca="false">IFERROR(INDEX('Agent Roster'!$B:$B,MATCH(B63,'Agent Roster'!$A:$A,0)),"UNASSIGNED")</f>
        <v>Observation &amp; Persistence Agent (Layer I.F)</v>
      </c>
      <c r="D63" s="19" t="str">
        <f aca="false">IFERROR(INDEX('Agent Roster'!$D:$D,MATCH(B63,'Agent Roster'!$A:$A,0)),"UNASSIGNED")</f>
        <v>Orchestration &amp; Diagnostics</v>
      </c>
      <c r="E63" s="19" t="s">
        <v>1526</v>
      </c>
      <c r="F63" s="19" t="s">
        <v>1547</v>
      </c>
      <c r="G63" s="19" t="s">
        <v>1315</v>
      </c>
      <c r="H63" s="19" t="s">
        <v>1528</v>
      </c>
      <c r="I63" s="19" t="s">
        <v>1548</v>
      </c>
      <c r="J63" s="19" t="s">
        <v>1530</v>
      </c>
      <c r="K63" s="19" t="s">
        <v>1350</v>
      </c>
      <c r="L63" s="19" t="s">
        <v>1376</v>
      </c>
      <c r="M63" s="19" t="s">
        <v>1377</v>
      </c>
      <c r="N63" s="19"/>
      <c r="O63" s="19" t="s">
        <v>1321</v>
      </c>
    </row>
    <row r="64" customFormat="false" ht="22.35" hidden="false" customHeight="false" outlineLevel="0" collapsed="false">
      <c r="A64" s="19" t="s">
        <v>1549</v>
      </c>
      <c r="B64" s="19" t="s">
        <v>251</v>
      </c>
      <c r="C64" s="19" t="str">
        <f aca="false">IFERROR(INDEX('Agent Roster'!$B:$B,MATCH(B64,'Agent Roster'!$A:$A,0)),"UNASSIGNED")</f>
        <v>Capsule Integrator (Layer I.G post-mortems)</v>
      </c>
      <c r="D64" s="19" t="str">
        <f aca="false">IFERROR(INDEX('Agent Roster'!$D:$D,MATCH(B64,'Agent Roster'!$A:$A,0)),"UNASSIGNED")</f>
        <v>Orchestration &amp; Diagnostics</v>
      </c>
      <c r="E64" s="19" t="s">
        <v>1550</v>
      </c>
      <c r="F64" s="19" t="s">
        <v>1551</v>
      </c>
      <c r="G64" s="19" t="s">
        <v>1315</v>
      </c>
      <c r="H64" s="19" t="s">
        <v>1552</v>
      </c>
      <c r="I64" s="19" t="s">
        <v>1553</v>
      </c>
      <c r="J64" s="19" t="s">
        <v>1554</v>
      </c>
      <c r="K64" s="19" t="s">
        <v>1319</v>
      </c>
      <c r="L64" s="19" t="s">
        <v>1320</v>
      </c>
      <c r="M64" s="19" t="s">
        <v>251</v>
      </c>
      <c r="N64" s="19"/>
      <c r="O64" s="19" t="s">
        <v>1321</v>
      </c>
    </row>
    <row r="65" customFormat="false" ht="22.35" hidden="false" customHeight="false" outlineLevel="0" collapsed="false">
      <c r="A65" s="19" t="s">
        <v>1555</v>
      </c>
      <c r="B65" s="19" t="s">
        <v>251</v>
      </c>
      <c r="C65" s="19" t="str">
        <f aca="false">IFERROR(INDEX('Agent Roster'!$B:$B,MATCH(B65,'Agent Roster'!$A:$A,0)),"UNASSIGNED")</f>
        <v>Capsule Integrator (Layer I.G post-mortems)</v>
      </c>
      <c r="D65" s="19" t="str">
        <f aca="false">IFERROR(INDEX('Agent Roster'!$D:$D,MATCH(B65,'Agent Roster'!$A:$A,0)),"UNASSIGNED")</f>
        <v>Orchestration &amp; Diagnostics</v>
      </c>
      <c r="E65" s="19" t="s">
        <v>1550</v>
      </c>
      <c r="F65" s="19" t="s">
        <v>1556</v>
      </c>
      <c r="G65" s="19" t="s">
        <v>1315</v>
      </c>
      <c r="H65" s="19" t="s">
        <v>1552</v>
      </c>
      <c r="I65" s="19" t="s">
        <v>1557</v>
      </c>
      <c r="J65" s="19" t="s">
        <v>1554</v>
      </c>
      <c r="K65" s="19" t="s">
        <v>1325</v>
      </c>
      <c r="L65" s="19" t="s">
        <v>1326</v>
      </c>
      <c r="M65" s="19" t="s">
        <v>251</v>
      </c>
      <c r="N65" s="19"/>
      <c r="O65" s="19" t="s">
        <v>1321</v>
      </c>
    </row>
    <row r="66" customFormat="false" ht="22.35" hidden="false" customHeight="false" outlineLevel="0" collapsed="false">
      <c r="A66" s="19" t="s">
        <v>1558</v>
      </c>
      <c r="B66" s="19" t="s">
        <v>251</v>
      </c>
      <c r="C66" s="19" t="str">
        <f aca="false">IFERROR(INDEX('Agent Roster'!$B:$B,MATCH(B66,'Agent Roster'!$A:$A,0)),"UNASSIGNED")</f>
        <v>Capsule Integrator (Layer I.G post-mortems)</v>
      </c>
      <c r="D66" s="19" t="str">
        <f aca="false">IFERROR(INDEX('Agent Roster'!$D:$D,MATCH(B66,'Agent Roster'!$A:$A,0)),"UNASSIGNED")</f>
        <v>Orchestration &amp; Diagnostics</v>
      </c>
      <c r="E66" s="19" t="s">
        <v>1550</v>
      </c>
      <c r="F66" s="19" t="s">
        <v>1559</v>
      </c>
      <c r="G66" s="19" t="s">
        <v>1315</v>
      </c>
      <c r="H66" s="19" t="s">
        <v>1552</v>
      </c>
      <c r="I66" s="19" t="s">
        <v>1560</v>
      </c>
      <c r="J66" s="19" t="s">
        <v>1554</v>
      </c>
      <c r="K66" s="19" t="s">
        <v>1330</v>
      </c>
      <c r="L66" s="19" t="s">
        <v>1331</v>
      </c>
      <c r="M66" s="19" t="s">
        <v>251</v>
      </c>
      <c r="N66" s="19"/>
      <c r="O66" s="19" t="s">
        <v>1321</v>
      </c>
    </row>
    <row r="67" customFormat="false" ht="22.35" hidden="false" customHeight="false" outlineLevel="0" collapsed="false">
      <c r="A67" s="19" t="s">
        <v>1561</v>
      </c>
      <c r="B67" s="19" t="s">
        <v>251</v>
      </c>
      <c r="C67" s="19" t="str">
        <f aca="false">IFERROR(INDEX('Agent Roster'!$B:$B,MATCH(B67,'Agent Roster'!$A:$A,0)),"UNASSIGNED")</f>
        <v>Capsule Integrator (Layer I.G post-mortems)</v>
      </c>
      <c r="D67" s="19" t="str">
        <f aca="false">IFERROR(INDEX('Agent Roster'!$D:$D,MATCH(B67,'Agent Roster'!$A:$A,0)),"UNASSIGNED")</f>
        <v>Orchestration &amp; Diagnostics</v>
      </c>
      <c r="E67" s="19" t="s">
        <v>1550</v>
      </c>
      <c r="F67" s="19" t="s">
        <v>1562</v>
      </c>
      <c r="G67" s="19" t="s">
        <v>1315</v>
      </c>
      <c r="H67" s="19" t="s">
        <v>1552</v>
      </c>
      <c r="I67" s="19" t="s">
        <v>1563</v>
      </c>
      <c r="J67" s="19" t="s">
        <v>1554</v>
      </c>
      <c r="K67" s="19" t="s">
        <v>1335</v>
      </c>
      <c r="L67" s="19" t="s">
        <v>1336</v>
      </c>
      <c r="M67" s="19" t="s">
        <v>251</v>
      </c>
      <c r="N67" s="19"/>
      <c r="O67" s="19" t="s">
        <v>1321</v>
      </c>
    </row>
    <row r="68" customFormat="false" ht="22.35" hidden="false" customHeight="false" outlineLevel="0" collapsed="false">
      <c r="A68" s="19" t="s">
        <v>1564</v>
      </c>
      <c r="B68" s="19" t="s">
        <v>251</v>
      </c>
      <c r="C68" s="19" t="str">
        <f aca="false">IFERROR(INDEX('Agent Roster'!$B:$B,MATCH(B68,'Agent Roster'!$A:$A,0)),"UNASSIGNED")</f>
        <v>Capsule Integrator (Layer I.G post-mortems)</v>
      </c>
      <c r="D68" s="19" t="str">
        <f aca="false">IFERROR(INDEX('Agent Roster'!$D:$D,MATCH(B68,'Agent Roster'!$A:$A,0)),"UNASSIGNED")</f>
        <v>Orchestration &amp; Diagnostics</v>
      </c>
      <c r="E68" s="19" t="s">
        <v>1550</v>
      </c>
      <c r="F68" s="19" t="s">
        <v>1565</v>
      </c>
      <c r="G68" s="19" t="s">
        <v>1315</v>
      </c>
      <c r="H68" s="19" t="s">
        <v>1552</v>
      </c>
      <c r="I68" s="19" t="s">
        <v>1566</v>
      </c>
      <c r="J68" s="19" t="s">
        <v>1554</v>
      </c>
      <c r="K68" s="19" t="s">
        <v>1340</v>
      </c>
      <c r="L68" s="19" t="s">
        <v>1341</v>
      </c>
      <c r="M68" s="19" t="s">
        <v>251</v>
      </c>
      <c r="N68" s="19"/>
      <c r="O68" s="19" t="s">
        <v>1321</v>
      </c>
    </row>
    <row r="69" customFormat="false" ht="22.35" hidden="false" customHeight="false" outlineLevel="0" collapsed="false">
      <c r="A69" s="19" t="s">
        <v>1567</v>
      </c>
      <c r="B69" s="19" t="s">
        <v>251</v>
      </c>
      <c r="C69" s="19" t="str">
        <f aca="false">IFERROR(INDEX('Agent Roster'!$B:$B,MATCH(B69,'Agent Roster'!$A:$A,0)),"UNASSIGNED")</f>
        <v>Capsule Integrator (Layer I.G post-mortems)</v>
      </c>
      <c r="D69" s="19" t="str">
        <f aca="false">IFERROR(INDEX('Agent Roster'!$D:$D,MATCH(B69,'Agent Roster'!$A:$A,0)),"UNASSIGNED")</f>
        <v>Orchestration &amp; Diagnostics</v>
      </c>
      <c r="E69" s="19" t="s">
        <v>1550</v>
      </c>
      <c r="F69" s="19" t="s">
        <v>1568</v>
      </c>
      <c r="G69" s="19" t="s">
        <v>1315</v>
      </c>
      <c r="H69" s="19" t="s">
        <v>1552</v>
      </c>
      <c r="I69" s="19" t="s">
        <v>1569</v>
      </c>
      <c r="J69" s="19" t="s">
        <v>1554</v>
      </c>
      <c r="K69" s="19" t="s">
        <v>1345</v>
      </c>
      <c r="L69" s="19" t="s">
        <v>1346</v>
      </c>
      <c r="M69" s="19" t="s">
        <v>251</v>
      </c>
      <c r="N69" s="19"/>
      <c r="O69" s="19" t="s">
        <v>1321</v>
      </c>
    </row>
    <row r="70" customFormat="false" ht="32.8" hidden="false" customHeight="false" outlineLevel="0" collapsed="false">
      <c r="A70" s="19" t="s">
        <v>1570</v>
      </c>
      <c r="B70" s="19" t="s">
        <v>251</v>
      </c>
      <c r="C70" s="19" t="str">
        <f aca="false">IFERROR(INDEX('Agent Roster'!$B:$B,MATCH(B70,'Agent Roster'!$A:$A,0)),"UNASSIGNED")</f>
        <v>Capsule Integrator (Layer I.G post-mortems)</v>
      </c>
      <c r="D70" s="19" t="str">
        <f aca="false">IFERROR(INDEX('Agent Roster'!$D:$D,MATCH(B70,'Agent Roster'!$A:$A,0)),"UNASSIGNED")</f>
        <v>Orchestration &amp; Diagnostics</v>
      </c>
      <c r="E70" s="19" t="s">
        <v>1550</v>
      </c>
      <c r="F70" s="19" t="s">
        <v>1571</v>
      </c>
      <c r="G70" s="19" t="s">
        <v>1315</v>
      </c>
      <c r="H70" s="19" t="s">
        <v>1552</v>
      </c>
      <c r="I70" s="19" t="s">
        <v>1572</v>
      </c>
      <c r="J70" s="19" t="s">
        <v>1554</v>
      </c>
      <c r="K70" s="19" t="s">
        <v>1350</v>
      </c>
      <c r="L70" s="19" t="s">
        <v>1376</v>
      </c>
      <c r="M70" s="19" t="s">
        <v>1377</v>
      </c>
      <c r="N70" s="19"/>
      <c r="O70" s="19" t="s">
        <v>1321</v>
      </c>
    </row>
    <row r="71" customFormat="false" ht="22.35" hidden="false" customHeight="false" outlineLevel="0" collapsed="false">
      <c r="A71" s="19" t="s">
        <v>1573</v>
      </c>
      <c r="B71" s="19" t="s">
        <v>210</v>
      </c>
      <c r="C71" s="19" t="str">
        <f aca="false">IFERROR(INDEX('Agent Roster'!$B:$B,MATCH(B71,'Agent Roster'!$A:$A,0)),"UNASSIGNED")</f>
        <v>Hermetic Principles Auditor (Layer II)</v>
      </c>
      <c r="D71" s="19" t="str">
        <f aca="false">IFERROR(INDEX('Agent Roster'!$D:$D,MATCH(B71,'Agent Roster'!$A:$A,0)),"UNASSIGNED")</f>
        <v>Orchestration &amp; Diagnostics</v>
      </c>
      <c r="E71" s="19" t="s">
        <v>1574</v>
      </c>
      <c r="F71" s="19" t="s">
        <v>1575</v>
      </c>
      <c r="G71" s="19" t="s">
        <v>1315</v>
      </c>
      <c r="H71" s="19" t="s">
        <v>1576</v>
      </c>
      <c r="I71" s="19" t="s">
        <v>1577</v>
      </c>
      <c r="J71" s="19" t="s">
        <v>1578</v>
      </c>
      <c r="K71" s="19" t="s">
        <v>1319</v>
      </c>
      <c r="L71" s="19" t="s">
        <v>1320</v>
      </c>
      <c r="M71" s="19" t="s">
        <v>210</v>
      </c>
      <c r="N71" s="19"/>
      <c r="O71" s="19" t="s">
        <v>1321</v>
      </c>
    </row>
    <row r="72" customFormat="false" ht="22.35" hidden="false" customHeight="false" outlineLevel="0" collapsed="false">
      <c r="A72" s="19" t="s">
        <v>1579</v>
      </c>
      <c r="B72" s="19" t="s">
        <v>210</v>
      </c>
      <c r="C72" s="19" t="str">
        <f aca="false">IFERROR(INDEX('Agent Roster'!$B:$B,MATCH(B72,'Agent Roster'!$A:$A,0)),"UNASSIGNED")</f>
        <v>Hermetic Principles Auditor (Layer II)</v>
      </c>
      <c r="D72" s="19" t="str">
        <f aca="false">IFERROR(INDEX('Agent Roster'!$D:$D,MATCH(B72,'Agent Roster'!$A:$A,0)),"UNASSIGNED")</f>
        <v>Orchestration &amp; Diagnostics</v>
      </c>
      <c r="E72" s="19" t="s">
        <v>1574</v>
      </c>
      <c r="F72" s="19" t="s">
        <v>1580</v>
      </c>
      <c r="G72" s="19" t="s">
        <v>1315</v>
      </c>
      <c r="H72" s="19" t="s">
        <v>1576</v>
      </c>
      <c r="I72" s="19" t="s">
        <v>1581</v>
      </c>
      <c r="J72" s="19" t="s">
        <v>1578</v>
      </c>
      <c r="K72" s="19" t="s">
        <v>1325</v>
      </c>
      <c r="L72" s="19" t="s">
        <v>1326</v>
      </c>
      <c r="M72" s="19" t="s">
        <v>210</v>
      </c>
      <c r="N72" s="19"/>
      <c r="O72" s="19" t="s">
        <v>1321</v>
      </c>
    </row>
    <row r="73" customFormat="false" ht="22.35" hidden="false" customHeight="false" outlineLevel="0" collapsed="false">
      <c r="A73" s="19" t="s">
        <v>1582</v>
      </c>
      <c r="B73" s="19" t="s">
        <v>210</v>
      </c>
      <c r="C73" s="19" t="str">
        <f aca="false">IFERROR(INDEX('Agent Roster'!$B:$B,MATCH(B73,'Agent Roster'!$A:$A,0)),"UNASSIGNED")</f>
        <v>Hermetic Principles Auditor (Layer II)</v>
      </c>
      <c r="D73" s="19" t="str">
        <f aca="false">IFERROR(INDEX('Agent Roster'!$D:$D,MATCH(B73,'Agent Roster'!$A:$A,0)),"UNASSIGNED")</f>
        <v>Orchestration &amp; Diagnostics</v>
      </c>
      <c r="E73" s="19" t="s">
        <v>1574</v>
      </c>
      <c r="F73" s="19" t="s">
        <v>1583</v>
      </c>
      <c r="G73" s="19" t="s">
        <v>1315</v>
      </c>
      <c r="H73" s="19" t="s">
        <v>1576</v>
      </c>
      <c r="I73" s="19" t="s">
        <v>1584</v>
      </c>
      <c r="J73" s="19" t="s">
        <v>1578</v>
      </c>
      <c r="K73" s="19" t="s">
        <v>1330</v>
      </c>
      <c r="L73" s="19" t="s">
        <v>1331</v>
      </c>
      <c r="M73" s="19" t="s">
        <v>210</v>
      </c>
      <c r="N73" s="19"/>
      <c r="O73" s="19" t="s">
        <v>1321</v>
      </c>
    </row>
    <row r="74" customFormat="false" ht="22.35" hidden="false" customHeight="false" outlineLevel="0" collapsed="false">
      <c r="A74" s="19" t="s">
        <v>1585</v>
      </c>
      <c r="B74" s="19" t="s">
        <v>210</v>
      </c>
      <c r="C74" s="19" t="str">
        <f aca="false">IFERROR(INDEX('Agent Roster'!$B:$B,MATCH(B74,'Agent Roster'!$A:$A,0)),"UNASSIGNED")</f>
        <v>Hermetic Principles Auditor (Layer II)</v>
      </c>
      <c r="D74" s="19" t="str">
        <f aca="false">IFERROR(INDEX('Agent Roster'!$D:$D,MATCH(B74,'Agent Roster'!$A:$A,0)),"UNASSIGNED")</f>
        <v>Orchestration &amp; Diagnostics</v>
      </c>
      <c r="E74" s="19" t="s">
        <v>1574</v>
      </c>
      <c r="F74" s="19" t="s">
        <v>1586</v>
      </c>
      <c r="G74" s="19" t="s">
        <v>1315</v>
      </c>
      <c r="H74" s="19" t="s">
        <v>1576</v>
      </c>
      <c r="I74" s="19" t="s">
        <v>1587</v>
      </c>
      <c r="J74" s="19" t="s">
        <v>1578</v>
      </c>
      <c r="K74" s="19" t="s">
        <v>1335</v>
      </c>
      <c r="L74" s="19" t="s">
        <v>1336</v>
      </c>
      <c r="M74" s="19" t="s">
        <v>210</v>
      </c>
      <c r="N74" s="19"/>
      <c r="O74" s="19" t="s">
        <v>1321</v>
      </c>
    </row>
    <row r="75" customFormat="false" ht="22.35" hidden="false" customHeight="false" outlineLevel="0" collapsed="false">
      <c r="A75" s="19" t="s">
        <v>1588</v>
      </c>
      <c r="B75" s="19" t="s">
        <v>210</v>
      </c>
      <c r="C75" s="19" t="str">
        <f aca="false">IFERROR(INDEX('Agent Roster'!$B:$B,MATCH(B75,'Agent Roster'!$A:$A,0)),"UNASSIGNED")</f>
        <v>Hermetic Principles Auditor (Layer II)</v>
      </c>
      <c r="D75" s="19" t="str">
        <f aca="false">IFERROR(INDEX('Agent Roster'!$D:$D,MATCH(B75,'Agent Roster'!$A:$A,0)),"UNASSIGNED")</f>
        <v>Orchestration &amp; Diagnostics</v>
      </c>
      <c r="E75" s="19" t="s">
        <v>1574</v>
      </c>
      <c r="F75" s="19" t="s">
        <v>1589</v>
      </c>
      <c r="G75" s="19" t="s">
        <v>1315</v>
      </c>
      <c r="H75" s="19" t="s">
        <v>1576</v>
      </c>
      <c r="I75" s="19" t="s">
        <v>1590</v>
      </c>
      <c r="J75" s="19" t="s">
        <v>1578</v>
      </c>
      <c r="K75" s="19" t="s">
        <v>1340</v>
      </c>
      <c r="L75" s="19" t="s">
        <v>1341</v>
      </c>
      <c r="M75" s="19" t="s">
        <v>210</v>
      </c>
      <c r="N75" s="19"/>
      <c r="O75" s="19" t="s">
        <v>1321</v>
      </c>
    </row>
    <row r="76" customFormat="false" ht="22.35" hidden="false" customHeight="false" outlineLevel="0" collapsed="false">
      <c r="A76" s="19" t="s">
        <v>1591</v>
      </c>
      <c r="B76" s="19" t="s">
        <v>210</v>
      </c>
      <c r="C76" s="19" t="str">
        <f aca="false">IFERROR(INDEX('Agent Roster'!$B:$B,MATCH(B76,'Agent Roster'!$A:$A,0)),"UNASSIGNED")</f>
        <v>Hermetic Principles Auditor (Layer II)</v>
      </c>
      <c r="D76" s="19" t="str">
        <f aca="false">IFERROR(INDEX('Agent Roster'!$D:$D,MATCH(B76,'Agent Roster'!$A:$A,0)),"UNASSIGNED")</f>
        <v>Orchestration &amp; Diagnostics</v>
      </c>
      <c r="E76" s="19" t="s">
        <v>1574</v>
      </c>
      <c r="F76" s="19" t="s">
        <v>1592</v>
      </c>
      <c r="G76" s="19" t="s">
        <v>1315</v>
      </c>
      <c r="H76" s="19" t="s">
        <v>1576</v>
      </c>
      <c r="I76" s="19" t="s">
        <v>1593</v>
      </c>
      <c r="J76" s="19" t="s">
        <v>1578</v>
      </c>
      <c r="K76" s="19" t="s">
        <v>1345</v>
      </c>
      <c r="L76" s="19" t="s">
        <v>1346</v>
      </c>
      <c r="M76" s="19" t="s">
        <v>210</v>
      </c>
      <c r="N76" s="19"/>
      <c r="O76" s="19" t="s">
        <v>1321</v>
      </c>
    </row>
    <row r="77" customFormat="false" ht="22.35" hidden="false" customHeight="false" outlineLevel="0" collapsed="false">
      <c r="A77" s="19" t="s">
        <v>1594</v>
      </c>
      <c r="B77" s="19" t="s">
        <v>210</v>
      </c>
      <c r="C77" s="19" t="str">
        <f aca="false">IFERROR(INDEX('Agent Roster'!$B:$B,MATCH(B77,'Agent Roster'!$A:$A,0)),"UNASSIGNED")</f>
        <v>Hermetic Principles Auditor (Layer II)</v>
      </c>
      <c r="D77" s="19" t="str">
        <f aca="false">IFERROR(INDEX('Agent Roster'!$D:$D,MATCH(B77,'Agent Roster'!$A:$A,0)),"UNASSIGNED")</f>
        <v>Orchestration &amp; Diagnostics</v>
      </c>
      <c r="E77" s="19" t="s">
        <v>1574</v>
      </c>
      <c r="F77" s="19" t="s">
        <v>1595</v>
      </c>
      <c r="G77" s="19" t="s">
        <v>1315</v>
      </c>
      <c r="H77" s="19" t="s">
        <v>1576</v>
      </c>
      <c r="I77" s="19" t="s">
        <v>1596</v>
      </c>
      <c r="J77" s="19" t="s">
        <v>1578</v>
      </c>
      <c r="K77" s="19" t="s">
        <v>1350</v>
      </c>
      <c r="L77" s="19" t="s">
        <v>1351</v>
      </c>
      <c r="M77" s="19" t="s">
        <v>210</v>
      </c>
      <c r="N77" s="19"/>
      <c r="O77" s="19" t="s">
        <v>1321</v>
      </c>
    </row>
    <row r="78" customFormat="false" ht="22.35" hidden="false" customHeight="false" outlineLevel="0" collapsed="false">
      <c r="A78" s="19" t="s">
        <v>1597</v>
      </c>
      <c r="B78" s="19" t="s">
        <v>210</v>
      </c>
      <c r="C78" s="19" t="str">
        <f aca="false">IFERROR(INDEX('Agent Roster'!$B:$B,MATCH(B78,'Agent Roster'!$A:$A,0)),"UNASSIGNED")</f>
        <v>Hermetic Principles Auditor (Layer II)</v>
      </c>
      <c r="D78" s="19" t="str">
        <f aca="false">IFERROR(INDEX('Agent Roster'!$D:$D,MATCH(B78,'Agent Roster'!$A:$A,0)),"UNASSIGNED")</f>
        <v>Orchestration &amp; Diagnostics</v>
      </c>
      <c r="E78" s="19" t="s">
        <v>1574</v>
      </c>
      <c r="F78" s="19" t="s">
        <v>1598</v>
      </c>
      <c r="G78" s="19" t="s">
        <v>1315</v>
      </c>
      <c r="H78" s="19" t="s">
        <v>1576</v>
      </c>
      <c r="I78" s="19" t="s">
        <v>1599</v>
      </c>
      <c r="J78" s="19" t="s">
        <v>1578</v>
      </c>
      <c r="K78" s="19" t="s">
        <v>1355</v>
      </c>
      <c r="L78" s="19" t="s">
        <v>1356</v>
      </c>
      <c r="M78" s="19" t="s">
        <v>210</v>
      </c>
      <c r="N78" s="19"/>
      <c r="O78" s="19" t="s">
        <v>1321</v>
      </c>
    </row>
    <row r="79" customFormat="false" ht="22.35" hidden="false" customHeight="false" outlineLevel="0" collapsed="false">
      <c r="A79" s="19" t="s">
        <v>1600</v>
      </c>
      <c r="B79" s="19" t="s">
        <v>210</v>
      </c>
      <c r="C79" s="19" t="str">
        <f aca="false">IFERROR(INDEX('Agent Roster'!$B:$B,MATCH(B79,'Agent Roster'!$A:$A,0)),"UNASSIGNED")</f>
        <v>Hermetic Principles Auditor (Layer II)</v>
      </c>
      <c r="D79" s="19" t="str">
        <f aca="false">IFERROR(INDEX('Agent Roster'!$D:$D,MATCH(B79,'Agent Roster'!$A:$A,0)),"UNASSIGNED")</f>
        <v>Orchestration &amp; Diagnostics</v>
      </c>
      <c r="E79" s="19" t="s">
        <v>1574</v>
      </c>
      <c r="F79" s="19" t="s">
        <v>1601</v>
      </c>
      <c r="G79" s="19" t="s">
        <v>1315</v>
      </c>
      <c r="H79" s="19" t="s">
        <v>1576</v>
      </c>
      <c r="I79" s="19" t="s">
        <v>1602</v>
      </c>
      <c r="J79" s="19" t="s">
        <v>1578</v>
      </c>
      <c r="K79" s="19" t="s">
        <v>1360</v>
      </c>
      <c r="L79" s="19" t="s">
        <v>1376</v>
      </c>
      <c r="M79" s="19" t="s">
        <v>1377</v>
      </c>
      <c r="N79" s="19"/>
      <c r="O79" s="19" t="s">
        <v>1321</v>
      </c>
    </row>
    <row r="80" customFormat="false" ht="22.35" hidden="false" customHeight="false" outlineLevel="0" collapsed="false">
      <c r="A80" s="19" t="s">
        <v>1603</v>
      </c>
      <c r="B80" s="19" t="s">
        <v>282</v>
      </c>
      <c r="C80" s="19" t="str">
        <f aca="false">IFERROR(INDEX('Agent Roster'!$B:$B,MATCH(B80,'Agent Roster'!$A:$A,0)),"UNASSIGNED")</f>
        <v>Process Density Calibrator (Layer III)</v>
      </c>
      <c r="D80" s="19" t="str">
        <f aca="false">IFERROR(INDEX('Agent Roster'!$D:$D,MATCH(B80,'Agent Roster'!$A:$A,0)),"UNASSIGNED")</f>
        <v>Orchestration &amp; Diagnostics</v>
      </c>
      <c r="E80" s="19" t="s">
        <v>1604</v>
      </c>
      <c r="F80" s="19" t="s">
        <v>1605</v>
      </c>
      <c r="G80" s="19" t="s">
        <v>1315</v>
      </c>
      <c r="H80" s="19" t="s">
        <v>1606</v>
      </c>
      <c r="I80" s="19" t="s">
        <v>1607</v>
      </c>
      <c r="J80" s="19" t="s">
        <v>1608</v>
      </c>
      <c r="K80" s="19" t="s">
        <v>1319</v>
      </c>
      <c r="L80" s="19" t="s">
        <v>1320</v>
      </c>
      <c r="M80" s="19" t="s">
        <v>282</v>
      </c>
      <c r="N80" s="19"/>
      <c r="O80" s="19" t="s">
        <v>1321</v>
      </c>
    </row>
    <row r="81" customFormat="false" ht="22.35" hidden="false" customHeight="false" outlineLevel="0" collapsed="false">
      <c r="A81" s="19" t="s">
        <v>1609</v>
      </c>
      <c r="B81" s="19" t="s">
        <v>282</v>
      </c>
      <c r="C81" s="19" t="str">
        <f aca="false">IFERROR(INDEX('Agent Roster'!$B:$B,MATCH(B81,'Agent Roster'!$A:$A,0)),"UNASSIGNED")</f>
        <v>Process Density Calibrator (Layer III)</v>
      </c>
      <c r="D81" s="19" t="str">
        <f aca="false">IFERROR(INDEX('Agent Roster'!$D:$D,MATCH(B81,'Agent Roster'!$A:$A,0)),"UNASSIGNED")</f>
        <v>Orchestration &amp; Diagnostics</v>
      </c>
      <c r="E81" s="19" t="s">
        <v>1604</v>
      </c>
      <c r="F81" s="19" t="s">
        <v>1610</v>
      </c>
      <c r="G81" s="19" t="s">
        <v>1315</v>
      </c>
      <c r="H81" s="19" t="s">
        <v>1606</v>
      </c>
      <c r="I81" s="19" t="s">
        <v>1611</v>
      </c>
      <c r="J81" s="19" t="s">
        <v>1608</v>
      </c>
      <c r="K81" s="19" t="s">
        <v>1325</v>
      </c>
      <c r="L81" s="19" t="s">
        <v>1326</v>
      </c>
      <c r="M81" s="19" t="s">
        <v>282</v>
      </c>
      <c r="N81" s="19"/>
      <c r="O81" s="19" t="s">
        <v>1321</v>
      </c>
    </row>
    <row r="82" customFormat="false" ht="32.8" hidden="false" customHeight="false" outlineLevel="0" collapsed="false">
      <c r="A82" s="19" t="s">
        <v>1612</v>
      </c>
      <c r="B82" s="19" t="s">
        <v>282</v>
      </c>
      <c r="C82" s="19" t="str">
        <f aca="false">IFERROR(INDEX('Agent Roster'!$B:$B,MATCH(B82,'Agent Roster'!$A:$A,0)),"UNASSIGNED")</f>
        <v>Process Density Calibrator (Layer III)</v>
      </c>
      <c r="D82" s="19" t="str">
        <f aca="false">IFERROR(INDEX('Agent Roster'!$D:$D,MATCH(B82,'Agent Roster'!$A:$A,0)),"UNASSIGNED")</f>
        <v>Orchestration &amp; Diagnostics</v>
      </c>
      <c r="E82" s="19" t="s">
        <v>1604</v>
      </c>
      <c r="F82" s="19" t="s">
        <v>1613</v>
      </c>
      <c r="G82" s="19" t="s">
        <v>1315</v>
      </c>
      <c r="H82" s="19" t="s">
        <v>1606</v>
      </c>
      <c r="I82" s="19" t="s">
        <v>1614</v>
      </c>
      <c r="J82" s="19" t="s">
        <v>1608</v>
      </c>
      <c r="K82" s="19" t="s">
        <v>1330</v>
      </c>
      <c r="L82" s="19" t="s">
        <v>1331</v>
      </c>
      <c r="M82" s="19" t="s">
        <v>282</v>
      </c>
      <c r="N82" s="19"/>
      <c r="O82" s="19" t="s">
        <v>1321</v>
      </c>
    </row>
    <row r="83" customFormat="false" ht="22.35" hidden="false" customHeight="false" outlineLevel="0" collapsed="false">
      <c r="A83" s="19" t="s">
        <v>1615</v>
      </c>
      <c r="B83" s="19" t="s">
        <v>282</v>
      </c>
      <c r="C83" s="19" t="str">
        <f aca="false">IFERROR(INDEX('Agent Roster'!$B:$B,MATCH(B83,'Agent Roster'!$A:$A,0)),"UNASSIGNED")</f>
        <v>Process Density Calibrator (Layer III)</v>
      </c>
      <c r="D83" s="19" t="str">
        <f aca="false">IFERROR(INDEX('Agent Roster'!$D:$D,MATCH(B83,'Agent Roster'!$A:$A,0)),"UNASSIGNED")</f>
        <v>Orchestration &amp; Diagnostics</v>
      </c>
      <c r="E83" s="19" t="s">
        <v>1604</v>
      </c>
      <c r="F83" s="19" t="s">
        <v>1616</v>
      </c>
      <c r="G83" s="19" t="s">
        <v>1315</v>
      </c>
      <c r="H83" s="19" t="s">
        <v>1606</v>
      </c>
      <c r="I83" s="19" t="s">
        <v>1617</v>
      </c>
      <c r="J83" s="19" t="s">
        <v>1608</v>
      </c>
      <c r="K83" s="19" t="s">
        <v>1335</v>
      </c>
      <c r="L83" s="19" t="s">
        <v>1336</v>
      </c>
      <c r="M83" s="19" t="s">
        <v>282</v>
      </c>
      <c r="N83" s="19"/>
      <c r="O83" s="19" t="s">
        <v>1321</v>
      </c>
    </row>
    <row r="84" customFormat="false" ht="22.35" hidden="false" customHeight="false" outlineLevel="0" collapsed="false">
      <c r="A84" s="19" t="s">
        <v>1618</v>
      </c>
      <c r="B84" s="19" t="s">
        <v>282</v>
      </c>
      <c r="C84" s="19" t="str">
        <f aca="false">IFERROR(INDEX('Agent Roster'!$B:$B,MATCH(B84,'Agent Roster'!$A:$A,0)),"UNASSIGNED")</f>
        <v>Process Density Calibrator (Layer III)</v>
      </c>
      <c r="D84" s="19" t="str">
        <f aca="false">IFERROR(INDEX('Agent Roster'!$D:$D,MATCH(B84,'Agent Roster'!$A:$A,0)),"UNASSIGNED")</f>
        <v>Orchestration &amp; Diagnostics</v>
      </c>
      <c r="E84" s="19" t="s">
        <v>1604</v>
      </c>
      <c r="F84" s="19" t="s">
        <v>1619</v>
      </c>
      <c r="G84" s="19" t="s">
        <v>1315</v>
      </c>
      <c r="H84" s="19" t="s">
        <v>1606</v>
      </c>
      <c r="I84" s="19" t="s">
        <v>1620</v>
      </c>
      <c r="J84" s="19" t="s">
        <v>1608</v>
      </c>
      <c r="K84" s="19" t="s">
        <v>1340</v>
      </c>
      <c r="L84" s="19" t="s">
        <v>1341</v>
      </c>
      <c r="M84" s="19" t="s">
        <v>282</v>
      </c>
      <c r="N84" s="19"/>
      <c r="O84" s="19" t="s">
        <v>1321</v>
      </c>
    </row>
    <row r="85" customFormat="false" ht="22.35" hidden="false" customHeight="false" outlineLevel="0" collapsed="false">
      <c r="A85" s="19" t="s">
        <v>1621</v>
      </c>
      <c r="B85" s="19" t="s">
        <v>282</v>
      </c>
      <c r="C85" s="19" t="str">
        <f aca="false">IFERROR(INDEX('Agent Roster'!$B:$B,MATCH(B85,'Agent Roster'!$A:$A,0)),"UNASSIGNED")</f>
        <v>Process Density Calibrator (Layer III)</v>
      </c>
      <c r="D85" s="19" t="str">
        <f aca="false">IFERROR(INDEX('Agent Roster'!$D:$D,MATCH(B85,'Agent Roster'!$A:$A,0)),"UNASSIGNED")</f>
        <v>Orchestration &amp; Diagnostics</v>
      </c>
      <c r="E85" s="19" t="s">
        <v>1604</v>
      </c>
      <c r="F85" s="19" t="s">
        <v>1622</v>
      </c>
      <c r="G85" s="19" t="s">
        <v>1315</v>
      </c>
      <c r="H85" s="19" t="s">
        <v>1606</v>
      </c>
      <c r="I85" s="19" t="s">
        <v>1623</v>
      </c>
      <c r="J85" s="19" t="s">
        <v>1608</v>
      </c>
      <c r="K85" s="19" t="s">
        <v>1345</v>
      </c>
      <c r="L85" s="19" t="s">
        <v>1346</v>
      </c>
      <c r="M85" s="19" t="s">
        <v>282</v>
      </c>
      <c r="N85" s="19"/>
      <c r="O85" s="19" t="s">
        <v>1321</v>
      </c>
    </row>
    <row r="86" customFormat="false" ht="22.35" hidden="false" customHeight="false" outlineLevel="0" collapsed="false">
      <c r="A86" s="19" t="s">
        <v>1624</v>
      </c>
      <c r="B86" s="19" t="s">
        <v>282</v>
      </c>
      <c r="C86" s="19" t="str">
        <f aca="false">IFERROR(INDEX('Agent Roster'!$B:$B,MATCH(B86,'Agent Roster'!$A:$A,0)),"UNASSIGNED")</f>
        <v>Process Density Calibrator (Layer III)</v>
      </c>
      <c r="D86" s="19" t="str">
        <f aca="false">IFERROR(INDEX('Agent Roster'!$D:$D,MATCH(B86,'Agent Roster'!$A:$A,0)),"UNASSIGNED")</f>
        <v>Orchestration &amp; Diagnostics</v>
      </c>
      <c r="E86" s="19" t="s">
        <v>1604</v>
      </c>
      <c r="F86" s="19" t="s">
        <v>1625</v>
      </c>
      <c r="G86" s="19" t="s">
        <v>1315</v>
      </c>
      <c r="H86" s="19" t="s">
        <v>1606</v>
      </c>
      <c r="I86" s="19" t="s">
        <v>1626</v>
      </c>
      <c r="J86" s="19" t="s">
        <v>1608</v>
      </c>
      <c r="K86" s="19" t="s">
        <v>1350</v>
      </c>
      <c r="L86" s="19" t="s">
        <v>1376</v>
      </c>
      <c r="M86" s="19" t="s">
        <v>1377</v>
      </c>
      <c r="N86" s="19"/>
      <c r="O86" s="19" t="s">
        <v>1321</v>
      </c>
    </row>
    <row r="87" customFormat="false" ht="22.35" hidden="false" customHeight="false" outlineLevel="0" collapsed="false">
      <c r="A87" s="19" t="s">
        <v>1627</v>
      </c>
      <c r="B87" s="19" t="s">
        <v>292</v>
      </c>
      <c r="C87" s="19" t="str">
        <f aca="false">IFERROR(INDEX('Agent Roster'!$B:$B,MATCH(B87,'Agent Roster'!$A:$A,0)),"UNASSIGNED")</f>
        <v>Knowledge Compounding Agent (Layer III+ Integration Density)</v>
      </c>
      <c r="D87" s="19" t="str">
        <f aca="false">IFERROR(INDEX('Agent Roster'!$D:$D,MATCH(B87,'Agent Roster'!$A:$A,0)),"UNASSIGNED")</f>
        <v>Orchestration &amp; Diagnostics</v>
      </c>
      <c r="E87" s="19" t="s">
        <v>1628</v>
      </c>
      <c r="F87" s="19" t="s">
        <v>1629</v>
      </c>
      <c r="G87" s="19" t="s">
        <v>1315</v>
      </c>
      <c r="H87" s="19" t="s">
        <v>1630</v>
      </c>
      <c r="I87" s="19" t="s">
        <v>1631</v>
      </c>
      <c r="J87" s="19" t="s">
        <v>1632</v>
      </c>
      <c r="K87" s="19" t="s">
        <v>1319</v>
      </c>
      <c r="L87" s="19" t="s">
        <v>1320</v>
      </c>
      <c r="M87" s="19" t="s">
        <v>292</v>
      </c>
      <c r="N87" s="19"/>
      <c r="O87" s="19" t="s">
        <v>1321</v>
      </c>
    </row>
    <row r="88" customFormat="false" ht="22.35" hidden="false" customHeight="false" outlineLevel="0" collapsed="false">
      <c r="A88" s="19" t="s">
        <v>1633</v>
      </c>
      <c r="B88" s="19" t="s">
        <v>292</v>
      </c>
      <c r="C88" s="19" t="str">
        <f aca="false">IFERROR(INDEX('Agent Roster'!$B:$B,MATCH(B88,'Agent Roster'!$A:$A,0)),"UNASSIGNED")</f>
        <v>Knowledge Compounding Agent (Layer III+ Integration Density)</v>
      </c>
      <c r="D88" s="19" t="str">
        <f aca="false">IFERROR(INDEX('Agent Roster'!$D:$D,MATCH(B88,'Agent Roster'!$A:$A,0)),"UNASSIGNED")</f>
        <v>Orchestration &amp; Diagnostics</v>
      </c>
      <c r="E88" s="19" t="s">
        <v>1628</v>
      </c>
      <c r="F88" s="19" t="s">
        <v>1634</v>
      </c>
      <c r="G88" s="19" t="s">
        <v>1315</v>
      </c>
      <c r="H88" s="19" t="s">
        <v>1630</v>
      </c>
      <c r="I88" s="19" t="s">
        <v>1635</v>
      </c>
      <c r="J88" s="19" t="s">
        <v>1632</v>
      </c>
      <c r="K88" s="19" t="s">
        <v>1325</v>
      </c>
      <c r="L88" s="19" t="s">
        <v>1326</v>
      </c>
      <c r="M88" s="19" t="s">
        <v>292</v>
      </c>
      <c r="N88" s="19"/>
      <c r="O88" s="19" t="s">
        <v>1321</v>
      </c>
    </row>
    <row r="89" customFormat="false" ht="22.35" hidden="false" customHeight="false" outlineLevel="0" collapsed="false">
      <c r="A89" s="19" t="s">
        <v>1636</v>
      </c>
      <c r="B89" s="19" t="s">
        <v>292</v>
      </c>
      <c r="C89" s="19" t="str">
        <f aca="false">IFERROR(INDEX('Agent Roster'!$B:$B,MATCH(B89,'Agent Roster'!$A:$A,0)),"UNASSIGNED")</f>
        <v>Knowledge Compounding Agent (Layer III+ Integration Density)</v>
      </c>
      <c r="D89" s="19" t="str">
        <f aca="false">IFERROR(INDEX('Agent Roster'!$D:$D,MATCH(B89,'Agent Roster'!$A:$A,0)),"UNASSIGNED")</f>
        <v>Orchestration &amp; Diagnostics</v>
      </c>
      <c r="E89" s="19" t="s">
        <v>1628</v>
      </c>
      <c r="F89" s="19" t="s">
        <v>1637</v>
      </c>
      <c r="G89" s="19" t="s">
        <v>1315</v>
      </c>
      <c r="H89" s="19" t="s">
        <v>1630</v>
      </c>
      <c r="I89" s="19" t="s">
        <v>1638</v>
      </c>
      <c r="J89" s="19" t="s">
        <v>1632</v>
      </c>
      <c r="K89" s="19" t="s">
        <v>1330</v>
      </c>
      <c r="L89" s="19" t="s">
        <v>1331</v>
      </c>
      <c r="M89" s="19" t="s">
        <v>292</v>
      </c>
      <c r="N89" s="19"/>
      <c r="O89" s="19" t="s">
        <v>1321</v>
      </c>
    </row>
    <row r="90" customFormat="false" ht="22.35" hidden="false" customHeight="false" outlineLevel="0" collapsed="false">
      <c r="A90" s="19" t="s">
        <v>1639</v>
      </c>
      <c r="B90" s="19" t="s">
        <v>292</v>
      </c>
      <c r="C90" s="19" t="str">
        <f aca="false">IFERROR(INDEX('Agent Roster'!$B:$B,MATCH(B90,'Agent Roster'!$A:$A,0)),"UNASSIGNED")</f>
        <v>Knowledge Compounding Agent (Layer III+ Integration Density)</v>
      </c>
      <c r="D90" s="19" t="str">
        <f aca="false">IFERROR(INDEX('Agent Roster'!$D:$D,MATCH(B90,'Agent Roster'!$A:$A,0)),"UNASSIGNED")</f>
        <v>Orchestration &amp; Diagnostics</v>
      </c>
      <c r="E90" s="19" t="s">
        <v>1628</v>
      </c>
      <c r="F90" s="19" t="s">
        <v>1640</v>
      </c>
      <c r="G90" s="19" t="s">
        <v>1315</v>
      </c>
      <c r="H90" s="19" t="s">
        <v>1630</v>
      </c>
      <c r="I90" s="19" t="s">
        <v>1641</v>
      </c>
      <c r="J90" s="19" t="s">
        <v>1632</v>
      </c>
      <c r="K90" s="19" t="s">
        <v>1335</v>
      </c>
      <c r="L90" s="19" t="s">
        <v>1336</v>
      </c>
      <c r="M90" s="19" t="s">
        <v>292</v>
      </c>
      <c r="N90" s="19"/>
      <c r="O90" s="19" t="s">
        <v>1321</v>
      </c>
    </row>
    <row r="91" customFormat="false" ht="22.35" hidden="false" customHeight="false" outlineLevel="0" collapsed="false">
      <c r="A91" s="19" t="s">
        <v>1642</v>
      </c>
      <c r="B91" s="19" t="s">
        <v>292</v>
      </c>
      <c r="C91" s="19" t="str">
        <f aca="false">IFERROR(INDEX('Agent Roster'!$B:$B,MATCH(B91,'Agent Roster'!$A:$A,0)),"UNASSIGNED")</f>
        <v>Knowledge Compounding Agent (Layer III+ Integration Density)</v>
      </c>
      <c r="D91" s="19" t="str">
        <f aca="false">IFERROR(INDEX('Agent Roster'!$D:$D,MATCH(B91,'Agent Roster'!$A:$A,0)),"UNASSIGNED")</f>
        <v>Orchestration &amp; Diagnostics</v>
      </c>
      <c r="E91" s="19" t="s">
        <v>1628</v>
      </c>
      <c r="F91" s="19" t="s">
        <v>1643</v>
      </c>
      <c r="G91" s="19" t="s">
        <v>1315</v>
      </c>
      <c r="H91" s="19" t="s">
        <v>1630</v>
      </c>
      <c r="I91" s="19" t="s">
        <v>1644</v>
      </c>
      <c r="J91" s="19" t="s">
        <v>1632</v>
      </c>
      <c r="K91" s="19" t="s">
        <v>1340</v>
      </c>
      <c r="L91" s="19" t="s">
        <v>1341</v>
      </c>
      <c r="M91" s="19" t="s">
        <v>292</v>
      </c>
      <c r="N91" s="19"/>
      <c r="O91" s="19" t="s">
        <v>1321</v>
      </c>
    </row>
    <row r="92" customFormat="false" ht="22.35" hidden="false" customHeight="false" outlineLevel="0" collapsed="false">
      <c r="A92" s="19" t="s">
        <v>1645</v>
      </c>
      <c r="B92" s="19" t="s">
        <v>292</v>
      </c>
      <c r="C92" s="19" t="str">
        <f aca="false">IFERROR(INDEX('Agent Roster'!$B:$B,MATCH(B92,'Agent Roster'!$A:$A,0)),"UNASSIGNED")</f>
        <v>Knowledge Compounding Agent (Layer III+ Integration Density)</v>
      </c>
      <c r="D92" s="19" t="str">
        <f aca="false">IFERROR(INDEX('Agent Roster'!$D:$D,MATCH(B92,'Agent Roster'!$A:$A,0)),"UNASSIGNED")</f>
        <v>Orchestration &amp; Diagnostics</v>
      </c>
      <c r="E92" s="19" t="s">
        <v>1628</v>
      </c>
      <c r="F92" s="19" t="s">
        <v>1646</v>
      </c>
      <c r="G92" s="19" t="s">
        <v>1315</v>
      </c>
      <c r="H92" s="19" t="s">
        <v>1630</v>
      </c>
      <c r="I92" s="19" t="s">
        <v>1647</v>
      </c>
      <c r="J92" s="19" t="s">
        <v>1632</v>
      </c>
      <c r="K92" s="19" t="s">
        <v>1345</v>
      </c>
      <c r="L92" s="19" t="s">
        <v>1346</v>
      </c>
      <c r="M92" s="19" t="s">
        <v>292</v>
      </c>
      <c r="N92" s="19"/>
      <c r="O92" s="19" t="s">
        <v>1321</v>
      </c>
    </row>
    <row r="93" customFormat="false" ht="22.35" hidden="false" customHeight="false" outlineLevel="0" collapsed="false">
      <c r="A93" s="19" t="s">
        <v>1648</v>
      </c>
      <c r="B93" s="19" t="s">
        <v>292</v>
      </c>
      <c r="C93" s="19" t="str">
        <f aca="false">IFERROR(INDEX('Agent Roster'!$B:$B,MATCH(B93,'Agent Roster'!$A:$A,0)),"UNASSIGNED")</f>
        <v>Knowledge Compounding Agent (Layer III+ Integration Density)</v>
      </c>
      <c r="D93" s="19" t="str">
        <f aca="false">IFERROR(INDEX('Agent Roster'!$D:$D,MATCH(B93,'Agent Roster'!$A:$A,0)),"UNASSIGNED")</f>
        <v>Orchestration &amp; Diagnostics</v>
      </c>
      <c r="E93" s="19" t="s">
        <v>1628</v>
      </c>
      <c r="F93" s="19" t="s">
        <v>1649</v>
      </c>
      <c r="G93" s="19" t="s">
        <v>1315</v>
      </c>
      <c r="H93" s="19" t="s">
        <v>1630</v>
      </c>
      <c r="I93" s="19" t="s">
        <v>1650</v>
      </c>
      <c r="J93" s="19" t="s">
        <v>1632</v>
      </c>
      <c r="K93" s="19" t="s">
        <v>1350</v>
      </c>
      <c r="L93" s="19" t="s">
        <v>1376</v>
      </c>
      <c r="M93" s="19" t="s">
        <v>1377</v>
      </c>
      <c r="N93" s="19"/>
      <c r="O93" s="19" t="s">
        <v>1321</v>
      </c>
    </row>
    <row r="94" customFormat="false" ht="22.35" hidden="false" customHeight="false" outlineLevel="0" collapsed="false">
      <c r="A94" s="19" t="s">
        <v>1651</v>
      </c>
      <c r="B94" s="19" t="s">
        <v>47</v>
      </c>
      <c r="C94" s="19" t="str">
        <f aca="false">IFERROR(INDEX('Agent Roster'!$B:$B,MATCH(B94,'Agent Roster'!$A:$A,0)),"UNASSIGNED")</f>
        <v>Founder / Operator (HUMAN)</v>
      </c>
      <c r="D94" s="19" t="str">
        <f aca="false">IFERROR(INDEX('Agent Roster'!$D:$D,MATCH(B94,'Agent Roster'!$A:$A,0)),"UNASSIGNED")</f>
        <v>Governance &amp; Meta-Tier</v>
      </c>
      <c r="E94" s="19" t="s">
        <v>1652</v>
      </c>
      <c r="F94" s="19" t="s">
        <v>1653</v>
      </c>
      <c r="G94" s="19" t="s">
        <v>1315</v>
      </c>
      <c r="H94" s="19" t="s">
        <v>1654</v>
      </c>
      <c r="I94" s="19" t="s">
        <v>1655</v>
      </c>
      <c r="J94" s="19" t="s">
        <v>1656</v>
      </c>
      <c r="K94" s="19" t="s">
        <v>1319</v>
      </c>
      <c r="L94" s="19" t="s">
        <v>1320</v>
      </c>
      <c r="M94" s="19" t="s">
        <v>47</v>
      </c>
      <c r="N94" s="19" t="s">
        <v>1657</v>
      </c>
      <c r="O94" s="19" t="s">
        <v>1321</v>
      </c>
    </row>
    <row r="95" customFormat="false" ht="22.35" hidden="false" customHeight="false" outlineLevel="0" collapsed="false">
      <c r="A95" s="19" t="s">
        <v>1658</v>
      </c>
      <c r="B95" s="19" t="s">
        <v>47</v>
      </c>
      <c r="C95" s="19" t="str">
        <f aca="false">IFERROR(INDEX('Agent Roster'!$B:$B,MATCH(B95,'Agent Roster'!$A:$A,0)),"UNASSIGNED")</f>
        <v>Founder / Operator (HUMAN)</v>
      </c>
      <c r="D95" s="19" t="str">
        <f aca="false">IFERROR(INDEX('Agent Roster'!$D:$D,MATCH(B95,'Agent Roster'!$A:$A,0)),"UNASSIGNED")</f>
        <v>Governance &amp; Meta-Tier</v>
      </c>
      <c r="E95" s="19" t="s">
        <v>1652</v>
      </c>
      <c r="F95" s="19" t="s">
        <v>1659</v>
      </c>
      <c r="G95" s="19" t="s">
        <v>1315</v>
      </c>
      <c r="H95" s="19" t="s">
        <v>1654</v>
      </c>
      <c r="I95" s="19" t="s">
        <v>1660</v>
      </c>
      <c r="J95" s="19" t="s">
        <v>1656</v>
      </c>
      <c r="K95" s="19" t="s">
        <v>1325</v>
      </c>
      <c r="L95" s="19" t="s">
        <v>1326</v>
      </c>
      <c r="M95" s="19" t="s">
        <v>47</v>
      </c>
      <c r="N95" s="19" t="s">
        <v>1657</v>
      </c>
      <c r="O95" s="19" t="s">
        <v>1321</v>
      </c>
    </row>
    <row r="96" customFormat="false" ht="22.35" hidden="false" customHeight="false" outlineLevel="0" collapsed="false">
      <c r="A96" s="19" t="s">
        <v>1661</v>
      </c>
      <c r="B96" s="19" t="s">
        <v>403</v>
      </c>
      <c r="C96" s="19" t="str">
        <f aca="false">IFERROR(INDEX('Agent Roster'!$B:$B,MATCH(B96,'Agent Roster'!$A:$A,0)),"UNASSIGNED")</f>
        <v>Vision, Mission &amp; Purpose Steward</v>
      </c>
      <c r="D96" s="19" t="str">
        <f aca="false">IFERROR(INDEX('Agent Roster'!$D:$D,MATCH(B96,'Agent Roster'!$A:$A,0)),"UNASSIGNED")</f>
        <v>1 · Strategy Hub</v>
      </c>
      <c r="E96" s="19" t="s">
        <v>1652</v>
      </c>
      <c r="F96" s="19" t="s">
        <v>1662</v>
      </c>
      <c r="G96" s="19" t="s">
        <v>1315</v>
      </c>
      <c r="H96" s="19" t="s">
        <v>1654</v>
      </c>
      <c r="I96" s="19" t="s">
        <v>1663</v>
      </c>
      <c r="J96" s="19" t="s">
        <v>1656</v>
      </c>
      <c r="K96" s="19" t="s">
        <v>1330</v>
      </c>
      <c r="L96" s="19" t="s">
        <v>1331</v>
      </c>
      <c r="M96" s="19" t="s">
        <v>403</v>
      </c>
      <c r="N96" s="19"/>
      <c r="O96" s="19" t="s">
        <v>1321</v>
      </c>
    </row>
    <row r="97" customFormat="false" ht="22.35" hidden="false" customHeight="false" outlineLevel="0" collapsed="false">
      <c r="A97" s="19" t="s">
        <v>1664</v>
      </c>
      <c r="B97" s="19" t="s">
        <v>403</v>
      </c>
      <c r="C97" s="19" t="str">
        <f aca="false">IFERROR(INDEX('Agent Roster'!$B:$B,MATCH(B97,'Agent Roster'!$A:$A,0)),"UNASSIGNED")</f>
        <v>Vision, Mission &amp; Purpose Steward</v>
      </c>
      <c r="D97" s="19" t="str">
        <f aca="false">IFERROR(INDEX('Agent Roster'!$D:$D,MATCH(B97,'Agent Roster'!$A:$A,0)),"UNASSIGNED")</f>
        <v>1 · Strategy Hub</v>
      </c>
      <c r="E97" s="19" t="s">
        <v>1652</v>
      </c>
      <c r="F97" s="19" t="s">
        <v>1665</v>
      </c>
      <c r="G97" s="19" t="s">
        <v>1315</v>
      </c>
      <c r="H97" s="19" t="s">
        <v>1654</v>
      </c>
      <c r="I97" s="19" t="s">
        <v>1666</v>
      </c>
      <c r="J97" s="19" t="s">
        <v>1656</v>
      </c>
      <c r="K97" s="19" t="s">
        <v>1335</v>
      </c>
      <c r="L97" s="19" t="s">
        <v>1336</v>
      </c>
      <c r="M97" s="19" t="s">
        <v>403</v>
      </c>
      <c r="N97" s="19"/>
      <c r="O97" s="19" t="s">
        <v>1321</v>
      </c>
    </row>
    <row r="98" customFormat="false" ht="22.35" hidden="false" customHeight="false" outlineLevel="0" collapsed="false">
      <c r="A98" s="19" t="s">
        <v>1667</v>
      </c>
      <c r="B98" s="19" t="s">
        <v>47</v>
      </c>
      <c r="C98" s="19" t="str">
        <f aca="false">IFERROR(INDEX('Agent Roster'!$B:$B,MATCH(B98,'Agent Roster'!$A:$A,0)),"UNASSIGNED")</f>
        <v>Founder / Operator (HUMAN)</v>
      </c>
      <c r="D98" s="19" t="str">
        <f aca="false">IFERROR(INDEX('Agent Roster'!$D:$D,MATCH(B98,'Agent Roster'!$A:$A,0)),"UNASSIGNED")</f>
        <v>Governance &amp; Meta-Tier</v>
      </c>
      <c r="E98" s="19" t="s">
        <v>1652</v>
      </c>
      <c r="F98" s="19" t="s">
        <v>1668</v>
      </c>
      <c r="G98" s="19" t="s">
        <v>1315</v>
      </c>
      <c r="H98" s="19" t="s">
        <v>1654</v>
      </c>
      <c r="I98" s="19" t="s">
        <v>1669</v>
      </c>
      <c r="J98" s="19" t="s">
        <v>1656</v>
      </c>
      <c r="K98" s="19" t="s">
        <v>1340</v>
      </c>
      <c r="L98" s="19" t="s">
        <v>1341</v>
      </c>
      <c r="M98" s="19" t="s">
        <v>47</v>
      </c>
      <c r="N98" s="19" t="s">
        <v>1657</v>
      </c>
      <c r="O98" s="19" t="s">
        <v>1321</v>
      </c>
    </row>
    <row r="99" customFormat="false" ht="22.35" hidden="false" customHeight="false" outlineLevel="0" collapsed="false">
      <c r="A99" s="19" t="s">
        <v>1670</v>
      </c>
      <c r="B99" s="19" t="s">
        <v>403</v>
      </c>
      <c r="C99" s="19" t="str">
        <f aca="false">IFERROR(INDEX('Agent Roster'!$B:$B,MATCH(B99,'Agent Roster'!$A:$A,0)),"UNASSIGNED")</f>
        <v>Vision, Mission &amp; Purpose Steward</v>
      </c>
      <c r="D99" s="19" t="str">
        <f aca="false">IFERROR(INDEX('Agent Roster'!$D:$D,MATCH(B99,'Agent Roster'!$A:$A,0)),"UNASSIGNED")</f>
        <v>1 · Strategy Hub</v>
      </c>
      <c r="E99" s="19" t="s">
        <v>1652</v>
      </c>
      <c r="F99" s="19" t="s">
        <v>1671</v>
      </c>
      <c r="G99" s="19" t="s">
        <v>1315</v>
      </c>
      <c r="H99" s="19" t="s">
        <v>1654</v>
      </c>
      <c r="I99" s="19" t="s">
        <v>1672</v>
      </c>
      <c r="J99" s="19" t="s">
        <v>1656</v>
      </c>
      <c r="K99" s="19" t="s">
        <v>1345</v>
      </c>
      <c r="L99" s="19" t="s">
        <v>1346</v>
      </c>
      <c r="M99" s="19" t="s">
        <v>403</v>
      </c>
      <c r="N99" s="19"/>
      <c r="O99" s="19" t="s">
        <v>1321</v>
      </c>
    </row>
    <row r="100" customFormat="false" ht="22.35" hidden="false" customHeight="false" outlineLevel="0" collapsed="false">
      <c r="A100" s="19" t="s">
        <v>1673</v>
      </c>
      <c r="B100" s="19" t="s">
        <v>1202</v>
      </c>
      <c r="C100" s="19" t="str">
        <f aca="false">IFERROR(INDEX('Agent Roster'!$B:$B,MATCH(B100,'Agent Roster'!$A:$A,0)),"UNASSIGNED")</f>
        <v>Content Hub Lead (Propagation owner)</v>
      </c>
      <c r="D100" s="19" t="str">
        <f aca="false">IFERROR(INDEX('Agent Roster'!$D:$D,MATCH(B100,'Agent Roster'!$A:$A,0)),"UNASSIGNED")</f>
        <v>9 · Content Hub</v>
      </c>
      <c r="E100" s="19" t="s">
        <v>1652</v>
      </c>
      <c r="F100" s="19" t="s">
        <v>1674</v>
      </c>
      <c r="G100" s="19" t="s">
        <v>1315</v>
      </c>
      <c r="H100" s="19" t="s">
        <v>1654</v>
      </c>
      <c r="I100" s="19" t="s">
        <v>1675</v>
      </c>
      <c r="J100" s="19" t="s">
        <v>1656</v>
      </c>
      <c r="K100" s="19" t="s">
        <v>1350</v>
      </c>
      <c r="L100" s="19" t="s">
        <v>1376</v>
      </c>
      <c r="M100" s="19" t="s">
        <v>1377</v>
      </c>
      <c r="N100" s="19"/>
      <c r="O100" s="19" t="s">
        <v>1321</v>
      </c>
    </row>
    <row r="101" customFormat="false" ht="32.8" hidden="false" customHeight="false" outlineLevel="0" collapsed="false">
      <c r="A101" s="19" t="s">
        <v>1676</v>
      </c>
      <c r="B101" s="19" t="s">
        <v>187</v>
      </c>
      <c r="C101" s="19" t="str">
        <f aca="false">IFERROR(INDEX('Agent Roster'!$B:$B,MATCH(B101,'Agent Roster'!$A:$A,0)),"UNASSIGNED")</f>
        <v>BEAS Auditor (Layer V Garlick Equilibrium)</v>
      </c>
      <c r="D101" s="19" t="str">
        <f aca="false">IFERROR(INDEX('Agent Roster'!$D:$D,MATCH(B101,'Agent Roster'!$A:$A,0)),"UNASSIGNED")</f>
        <v>Orchestration &amp; Diagnostics</v>
      </c>
      <c r="E101" s="19" t="s">
        <v>1677</v>
      </c>
      <c r="F101" s="19" t="s">
        <v>1678</v>
      </c>
      <c r="G101" s="19" t="s">
        <v>1315</v>
      </c>
      <c r="H101" s="19" t="s">
        <v>1679</v>
      </c>
      <c r="I101" s="19" t="s">
        <v>1680</v>
      </c>
      <c r="J101" s="19" t="s">
        <v>1139</v>
      </c>
      <c r="K101" s="19" t="s">
        <v>1319</v>
      </c>
      <c r="L101" s="19" t="s">
        <v>1320</v>
      </c>
      <c r="M101" s="19" t="s">
        <v>187</v>
      </c>
      <c r="N101" s="19"/>
      <c r="O101" s="19" t="s">
        <v>1321</v>
      </c>
    </row>
    <row r="102" customFormat="false" ht="32.8" hidden="false" customHeight="false" outlineLevel="0" collapsed="false">
      <c r="A102" s="19" t="s">
        <v>1681</v>
      </c>
      <c r="B102" s="19" t="s">
        <v>187</v>
      </c>
      <c r="C102" s="19" t="str">
        <f aca="false">IFERROR(INDEX('Agent Roster'!$B:$B,MATCH(B102,'Agent Roster'!$A:$A,0)),"UNASSIGNED")</f>
        <v>BEAS Auditor (Layer V Garlick Equilibrium)</v>
      </c>
      <c r="D102" s="19" t="str">
        <f aca="false">IFERROR(INDEX('Agent Roster'!$D:$D,MATCH(B102,'Agent Roster'!$A:$A,0)),"UNASSIGNED")</f>
        <v>Orchestration &amp; Diagnostics</v>
      </c>
      <c r="E102" s="19" t="s">
        <v>1677</v>
      </c>
      <c r="F102" s="19" t="s">
        <v>1682</v>
      </c>
      <c r="G102" s="19" t="s">
        <v>1315</v>
      </c>
      <c r="H102" s="19" t="s">
        <v>1679</v>
      </c>
      <c r="I102" s="19" t="s">
        <v>1683</v>
      </c>
      <c r="J102" s="19" t="s">
        <v>1139</v>
      </c>
      <c r="K102" s="19" t="s">
        <v>1325</v>
      </c>
      <c r="L102" s="19" t="s">
        <v>1326</v>
      </c>
      <c r="M102" s="19" t="s">
        <v>187</v>
      </c>
      <c r="N102" s="19"/>
      <c r="O102" s="19" t="s">
        <v>1321</v>
      </c>
    </row>
    <row r="103" customFormat="false" ht="32.8" hidden="false" customHeight="false" outlineLevel="0" collapsed="false">
      <c r="A103" s="19" t="s">
        <v>1684</v>
      </c>
      <c r="B103" s="19" t="s">
        <v>187</v>
      </c>
      <c r="C103" s="19" t="str">
        <f aca="false">IFERROR(INDEX('Agent Roster'!$B:$B,MATCH(B103,'Agent Roster'!$A:$A,0)),"UNASSIGNED")</f>
        <v>BEAS Auditor (Layer V Garlick Equilibrium)</v>
      </c>
      <c r="D103" s="19" t="str">
        <f aca="false">IFERROR(INDEX('Agent Roster'!$D:$D,MATCH(B103,'Agent Roster'!$A:$A,0)),"UNASSIGNED")</f>
        <v>Orchestration &amp; Diagnostics</v>
      </c>
      <c r="E103" s="19" t="s">
        <v>1677</v>
      </c>
      <c r="F103" s="19" t="s">
        <v>1685</v>
      </c>
      <c r="G103" s="19" t="s">
        <v>1315</v>
      </c>
      <c r="H103" s="19" t="s">
        <v>1679</v>
      </c>
      <c r="I103" s="19" t="s">
        <v>1686</v>
      </c>
      <c r="J103" s="19" t="s">
        <v>1139</v>
      </c>
      <c r="K103" s="19" t="s">
        <v>1330</v>
      </c>
      <c r="L103" s="19" t="s">
        <v>1331</v>
      </c>
      <c r="M103" s="19" t="s">
        <v>187</v>
      </c>
      <c r="N103" s="19"/>
      <c r="O103" s="19" t="s">
        <v>1321</v>
      </c>
    </row>
    <row r="104" customFormat="false" ht="32.8" hidden="false" customHeight="false" outlineLevel="0" collapsed="false">
      <c r="A104" s="19" t="s">
        <v>1687</v>
      </c>
      <c r="B104" s="19" t="s">
        <v>187</v>
      </c>
      <c r="C104" s="19" t="str">
        <f aca="false">IFERROR(INDEX('Agent Roster'!$B:$B,MATCH(B104,'Agent Roster'!$A:$A,0)),"UNASSIGNED")</f>
        <v>BEAS Auditor (Layer V Garlick Equilibrium)</v>
      </c>
      <c r="D104" s="19" t="str">
        <f aca="false">IFERROR(INDEX('Agent Roster'!$D:$D,MATCH(B104,'Agent Roster'!$A:$A,0)),"UNASSIGNED")</f>
        <v>Orchestration &amp; Diagnostics</v>
      </c>
      <c r="E104" s="19" t="s">
        <v>1677</v>
      </c>
      <c r="F104" s="19" t="s">
        <v>1688</v>
      </c>
      <c r="G104" s="19" t="s">
        <v>1315</v>
      </c>
      <c r="H104" s="19" t="s">
        <v>1679</v>
      </c>
      <c r="I104" s="19" t="s">
        <v>1689</v>
      </c>
      <c r="J104" s="19" t="s">
        <v>1139</v>
      </c>
      <c r="K104" s="19" t="s">
        <v>1335</v>
      </c>
      <c r="L104" s="19" t="s">
        <v>1336</v>
      </c>
      <c r="M104" s="19" t="s">
        <v>187</v>
      </c>
      <c r="N104" s="19"/>
      <c r="O104" s="19" t="s">
        <v>1321</v>
      </c>
    </row>
    <row r="105" customFormat="false" ht="32.8" hidden="false" customHeight="false" outlineLevel="0" collapsed="false">
      <c r="A105" s="19" t="s">
        <v>1690</v>
      </c>
      <c r="B105" s="19" t="s">
        <v>187</v>
      </c>
      <c r="C105" s="19" t="str">
        <f aca="false">IFERROR(INDEX('Agent Roster'!$B:$B,MATCH(B105,'Agent Roster'!$A:$A,0)),"UNASSIGNED")</f>
        <v>BEAS Auditor (Layer V Garlick Equilibrium)</v>
      </c>
      <c r="D105" s="19" t="str">
        <f aca="false">IFERROR(INDEX('Agent Roster'!$D:$D,MATCH(B105,'Agent Roster'!$A:$A,0)),"UNASSIGNED")</f>
        <v>Orchestration &amp; Diagnostics</v>
      </c>
      <c r="E105" s="19" t="s">
        <v>1677</v>
      </c>
      <c r="F105" s="19" t="s">
        <v>1691</v>
      </c>
      <c r="G105" s="19" t="s">
        <v>1315</v>
      </c>
      <c r="H105" s="19" t="s">
        <v>1679</v>
      </c>
      <c r="I105" s="19" t="s">
        <v>1692</v>
      </c>
      <c r="J105" s="19" t="s">
        <v>1139</v>
      </c>
      <c r="K105" s="19" t="s">
        <v>1340</v>
      </c>
      <c r="L105" s="19" t="s">
        <v>1341</v>
      </c>
      <c r="M105" s="19" t="s">
        <v>187</v>
      </c>
      <c r="N105" s="19"/>
      <c r="O105" s="19" t="s">
        <v>1321</v>
      </c>
    </row>
    <row r="106" customFormat="false" ht="32.8" hidden="false" customHeight="false" outlineLevel="0" collapsed="false">
      <c r="A106" s="19" t="s">
        <v>1693</v>
      </c>
      <c r="B106" s="19" t="s">
        <v>174</v>
      </c>
      <c r="C106" s="19" t="str">
        <f aca="false">IFERROR(INDEX('Agent Roster'!$B:$B,MATCH(B106,'Agent Roster'!$A:$A,0)),"UNASSIGNED")</f>
        <v>Shepherd's Way Cycle Controller (Layer VI)</v>
      </c>
      <c r="D106" s="19" t="str">
        <f aca="false">IFERROR(INDEX('Agent Roster'!$D:$D,MATCH(B106,'Agent Roster'!$A:$A,0)),"UNASSIGNED")</f>
        <v>Orchestration &amp; Diagnostics</v>
      </c>
      <c r="E106" s="19" t="s">
        <v>1677</v>
      </c>
      <c r="F106" s="19" t="s">
        <v>1694</v>
      </c>
      <c r="G106" s="19" t="s">
        <v>1315</v>
      </c>
      <c r="H106" s="19" t="s">
        <v>1679</v>
      </c>
      <c r="I106" s="19" t="s">
        <v>1695</v>
      </c>
      <c r="J106" s="19" t="s">
        <v>1139</v>
      </c>
      <c r="K106" s="19" t="s">
        <v>1345</v>
      </c>
      <c r="L106" s="19" t="s">
        <v>1346</v>
      </c>
      <c r="M106" s="19" t="s">
        <v>174</v>
      </c>
      <c r="N106" s="19"/>
      <c r="O106" s="19" t="s">
        <v>1321</v>
      </c>
    </row>
    <row r="107" customFormat="false" ht="32.8" hidden="false" customHeight="false" outlineLevel="0" collapsed="false">
      <c r="A107" s="19" t="s">
        <v>1696</v>
      </c>
      <c r="B107" s="19" t="s">
        <v>187</v>
      </c>
      <c r="C107" s="19" t="str">
        <f aca="false">IFERROR(INDEX('Agent Roster'!$B:$B,MATCH(B107,'Agent Roster'!$A:$A,0)),"UNASSIGNED")</f>
        <v>BEAS Auditor (Layer V Garlick Equilibrium)</v>
      </c>
      <c r="D107" s="19" t="str">
        <f aca="false">IFERROR(INDEX('Agent Roster'!$D:$D,MATCH(B107,'Agent Roster'!$A:$A,0)),"UNASSIGNED")</f>
        <v>Orchestration &amp; Diagnostics</v>
      </c>
      <c r="E107" s="19" t="s">
        <v>1677</v>
      </c>
      <c r="F107" s="19" t="s">
        <v>1697</v>
      </c>
      <c r="G107" s="19" t="s">
        <v>1315</v>
      </c>
      <c r="H107" s="19" t="s">
        <v>1679</v>
      </c>
      <c r="I107" s="19" t="s">
        <v>1698</v>
      </c>
      <c r="J107" s="19" t="s">
        <v>1139</v>
      </c>
      <c r="K107" s="19" t="s">
        <v>1350</v>
      </c>
      <c r="L107" s="19" t="s">
        <v>1376</v>
      </c>
      <c r="M107" s="19" t="s">
        <v>1377</v>
      </c>
      <c r="N107" s="19"/>
      <c r="O107" s="19" t="s">
        <v>1321</v>
      </c>
    </row>
    <row r="108" customFormat="false" ht="22.35" hidden="false" customHeight="false" outlineLevel="0" collapsed="false">
      <c r="A108" s="19" t="s">
        <v>1699</v>
      </c>
      <c r="B108" s="19" t="s">
        <v>174</v>
      </c>
      <c r="C108" s="19" t="str">
        <f aca="false">IFERROR(INDEX('Agent Roster'!$B:$B,MATCH(B108,'Agent Roster'!$A:$A,0)),"UNASSIGNED")</f>
        <v>Shepherd's Way Cycle Controller (Layer VI)</v>
      </c>
      <c r="D108" s="19" t="str">
        <f aca="false">IFERROR(INDEX('Agent Roster'!$D:$D,MATCH(B108,'Agent Roster'!$A:$A,0)),"UNASSIGNED")</f>
        <v>Orchestration &amp; Diagnostics</v>
      </c>
      <c r="E108" s="19" t="s">
        <v>1700</v>
      </c>
      <c r="F108" s="19" t="s">
        <v>1701</v>
      </c>
      <c r="G108" s="19" t="s">
        <v>1315</v>
      </c>
      <c r="H108" s="19" t="s">
        <v>1702</v>
      </c>
      <c r="I108" s="19" t="s">
        <v>1703</v>
      </c>
      <c r="J108" s="19" t="s">
        <v>1704</v>
      </c>
      <c r="K108" s="19" t="s">
        <v>1319</v>
      </c>
      <c r="L108" s="19" t="s">
        <v>1320</v>
      </c>
      <c r="M108" s="19" t="s">
        <v>174</v>
      </c>
      <c r="N108" s="19"/>
      <c r="O108" s="19" t="s">
        <v>1321</v>
      </c>
    </row>
    <row r="109" customFormat="false" ht="22.35" hidden="false" customHeight="false" outlineLevel="0" collapsed="false">
      <c r="A109" s="19" t="s">
        <v>1705</v>
      </c>
      <c r="B109" s="19" t="s">
        <v>174</v>
      </c>
      <c r="C109" s="19" t="str">
        <f aca="false">IFERROR(INDEX('Agent Roster'!$B:$B,MATCH(B109,'Agent Roster'!$A:$A,0)),"UNASSIGNED")</f>
        <v>Shepherd's Way Cycle Controller (Layer VI)</v>
      </c>
      <c r="D109" s="19" t="str">
        <f aca="false">IFERROR(INDEX('Agent Roster'!$D:$D,MATCH(B109,'Agent Roster'!$A:$A,0)),"UNASSIGNED")</f>
        <v>Orchestration &amp; Diagnostics</v>
      </c>
      <c r="E109" s="19" t="s">
        <v>1700</v>
      </c>
      <c r="F109" s="19" t="s">
        <v>1706</v>
      </c>
      <c r="G109" s="19" t="s">
        <v>1315</v>
      </c>
      <c r="H109" s="19" t="s">
        <v>1702</v>
      </c>
      <c r="I109" s="19" t="s">
        <v>1707</v>
      </c>
      <c r="J109" s="19" t="s">
        <v>1704</v>
      </c>
      <c r="K109" s="19" t="s">
        <v>1325</v>
      </c>
      <c r="L109" s="19" t="s">
        <v>1326</v>
      </c>
      <c r="M109" s="19" t="s">
        <v>174</v>
      </c>
      <c r="N109" s="19"/>
      <c r="O109" s="19" t="s">
        <v>1321</v>
      </c>
    </row>
    <row r="110" customFormat="false" ht="22.35" hidden="false" customHeight="false" outlineLevel="0" collapsed="false">
      <c r="A110" s="19" t="s">
        <v>1708</v>
      </c>
      <c r="B110" s="19" t="s">
        <v>174</v>
      </c>
      <c r="C110" s="19" t="str">
        <f aca="false">IFERROR(INDEX('Agent Roster'!$B:$B,MATCH(B110,'Agent Roster'!$A:$A,0)),"UNASSIGNED")</f>
        <v>Shepherd's Way Cycle Controller (Layer VI)</v>
      </c>
      <c r="D110" s="19" t="str">
        <f aca="false">IFERROR(INDEX('Agent Roster'!$D:$D,MATCH(B110,'Agent Roster'!$A:$A,0)),"UNASSIGNED")</f>
        <v>Orchestration &amp; Diagnostics</v>
      </c>
      <c r="E110" s="19" t="s">
        <v>1700</v>
      </c>
      <c r="F110" s="19" t="s">
        <v>1709</v>
      </c>
      <c r="G110" s="19" t="s">
        <v>1315</v>
      </c>
      <c r="H110" s="19" t="s">
        <v>1702</v>
      </c>
      <c r="I110" s="19" t="s">
        <v>1710</v>
      </c>
      <c r="J110" s="19" t="s">
        <v>1704</v>
      </c>
      <c r="K110" s="19" t="s">
        <v>1330</v>
      </c>
      <c r="L110" s="19" t="s">
        <v>1331</v>
      </c>
      <c r="M110" s="19" t="s">
        <v>174</v>
      </c>
      <c r="N110" s="19"/>
      <c r="O110" s="19" t="s">
        <v>1321</v>
      </c>
    </row>
    <row r="111" customFormat="false" ht="22.35" hidden="false" customHeight="false" outlineLevel="0" collapsed="false">
      <c r="A111" s="19" t="s">
        <v>1711</v>
      </c>
      <c r="B111" s="19" t="s">
        <v>174</v>
      </c>
      <c r="C111" s="19" t="str">
        <f aca="false">IFERROR(INDEX('Agent Roster'!$B:$B,MATCH(B111,'Agent Roster'!$A:$A,0)),"UNASSIGNED")</f>
        <v>Shepherd's Way Cycle Controller (Layer VI)</v>
      </c>
      <c r="D111" s="19" t="str">
        <f aca="false">IFERROR(INDEX('Agent Roster'!$D:$D,MATCH(B111,'Agent Roster'!$A:$A,0)),"UNASSIGNED")</f>
        <v>Orchestration &amp; Diagnostics</v>
      </c>
      <c r="E111" s="19" t="s">
        <v>1700</v>
      </c>
      <c r="F111" s="19" t="s">
        <v>1712</v>
      </c>
      <c r="G111" s="19" t="s">
        <v>1315</v>
      </c>
      <c r="H111" s="19" t="s">
        <v>1702</v>
      </c>
      <c r="I111" s="19" t="s">
        <v>1713</v>
      </c>
      <c r="J111" s="19" t="s">
        <v>1704</v>
      </c>
      <c r="K111" s="19" t="s">
        <v>1335</v>
      </c>
      <c r="L111" s="19" t="s">
        <v>1336</v>
      </c>
      <c r="M111" s="19" t="s">
        <v>174</v>
      </c>
      <c r="N111" s="19"/>
      <c r="O111" s="19" t="s">
        <v>1321</v>
      </c>
    </row>
    <row r="112" customFormat="false" ht="22.35" hidden="false" customHeight="false" outlineLevel="0" collapsed="false">
      <c r="A112" s="19" t="s">
        <v>1714</v>
      </c>
      <c r="B112" s="19" t="s">
        <v>174</v>
      </c>
      <c r="C112" s="19" t="str">
        <f aca="false">IFERROR(INDEX('Agent Roster'!$B:$B,MATCH(B112,'Agent Roster'!$A:$A,0)),"UNASSIGNED")</f>
        <v>Shepherd's Way Cycle Controller (Layer VI)</v>
      </c>
      <c r="D112" s="19" t="str">
        <f aca="false">IFERROR(INDEX('Agent Roster'!$D:$D,MATCH(B112,'Agent Roster'!$A:$A,0)),"UNASSIGNED")</f>
        <v>Orchestration &amp; Diagnostics</v>
      </c>
      <c r="E112" s="19" t="s">
        <v>1700</v>
      </c>
      <c r="F112" s="19" t="s">
        <v>1715</v>
      </c>
      <c r="G112" s="19" t="s">
        <v>1315</v>
      </c>
      <c r="H112" s="19" t="s">
        <v>1702</v>
      </c>
      <c r="I112" s="19" t="s">
        <v>1716</v>
      </c>
      <c r="J112" s="19" t="s">
        <v>1704</v>
      </c>
      <c r="K112" s="19" t="s">
        <v>1340</v>
      </c>
      <c r="L112" s="19" t="s">
        <v>1341</v>
      </c>
      <c r="M112" s="19" t="s">
        <v>174</v>
      </c>
      <c r="N112" s="19"/>
      <c r="O112" s="19" t="s">
        <v>1321</v>
      </c>
    </row>
    <row r="113" customFormat="false" ht="22.35" hidden="false" customHeight="false" outlineLevel="0" collapsed="false">
      <c r="A113" s="19" t="s">
        <v>1717</v>
      </c>
      <c r="B113" s="19" t="s">
        <v>302</v>
      </c>
      <c r="C113" s="19" t="str">
        <f aca="false">IFERROR(INDEX('Agent Roster'!$B:$B,MATCH(B113,'Agent Roster'!$A:$A,0)),"UNASSIGNED")</f>
        <v>Database &amp; Documentation Agent (Shepherd's Way Step 06)</v>
      </c>
      <c r="D113" s="19" t="str">
        <f aca="false">IFERROR(INDEX('Agent Roster'!$D:$D,MATCH(B113,'Agent Roster'!$A:$A,0)),"UNASSIGNED")</f>
        <v>Orchestration &amp; Diagnostics</v>
      </c>
      <c r="E113" s="19" t="s">
        <v>1700</v>
      </c>
      <c r="F113" s="19" t="s">
        <v>1718</v>
      </c>
      <c r="G113" s="19" t="s">
        <v>1315</v>
      </c>
      <c r="H113" s="19" t="s">
        <v>1702</v>
      </c>
      <c r="I113" s="19" t="s">
        <v>1719</v>
      </c>
      <c r="J113" s="19" t="s">
        <v>1704</v>
      </c>
      <c r="K113" s="19" t="s">
        <v>1345</v>
      </c>
      <c r="L113" s="19" t="s">
        <v>1346</v>
      </c>
      <c r="M113" s="19" t="s">
        <v>302</v>
      </c>
      <c r="N113" s="19"/>
      <c r="O113" s="19" t="s">
        <v>1321</v>
      </c>
    </row>
    <row r="114" customFormat="false" ht="22.35" hidden="false" customHeight="false" outlineLevel="0" collapsed="false">
      <c r="A114" s="19" t="s">
        <v>1720</v>
      </c>
      <c r="B114" s="19" t="s">
        <v>174</v>
      </c>
      <c r="C114" s="19" t="str">
        <f aca="false">IFERROR(INDEX('Agent Roster'!$B:$B,MATCH(B114,'Agent Roster'!$A:$A,0)),"UNASSIGNED")</f>
        <v>Shepherd's Way Cycle Controller (Layer VI)</v>
      </c>
      <c r="D114" s="19" t="str">
        <f aca="false">IFERROR(INDEX('Agent Roster'!$D:$D,MATCH(B114,'Agent Roster'!$A:$A,0)),"UNASSIGNED")</f>
        <v>Orchestration &amp; Diagnostics</v>
      </c>
      <c r="E114" s="19" t="s">
        <v>1700</v>
      </c>
      <c r="F114" s="19" t="s">
        <v>1721</v>
      </c>
      <c r="G114" s="19" t="s">
        <v>1315</v>
      </c>
      <c r="H114" s="19" t="s">
        <v>1702</v>
      </c>
      <c r="I114" s="19" t="s">
        <v>1722</v>
      </c>
      <c r="J114" s="19" t="s">
        <v>1704</v>
      </c>
      <c r="K114" s="19" t="s">
        <v>1350</v>
      </c>
      <c r="L114" s="19" t="s">
        <v>1376</v>
      </c>
      <c r="M114" s="19" t="s">
        <v>1377</v>
      </c>
      <c r="N114" s="19"/>
      <c r="O114" s="19" t="s">
        <v>1321</v>
      </c>
    </row>
    <row r="115" customFormat="false" ht="32.8" hidden="false" customHeight="false" outlineLevel="0" collapsed="false">
      <c r="A115" s="19" t="s">
        <v>1723</v>
      </c>
      <c r="B115" s="19" t="s">
        <v>476</v>
      </c>
      <c r="C115" s="19" t="str">
        <f aca="false">IFERROR(INDEX('Agent Roster'!$B:$B,MATCH(B115,'Agent Roster'!$A:$A,0)),"UNASSIGNED")</f>
        <v>Marketing Hub Lead (ACE Acquisition owner)</v>
      </c>
      <c r="D115" s="19" t="str">
        <f aca="false">IFERROR(INDEX('Agent Roster'!$D:$D,MATCH(B115,'Agent Roster'!$A:$A,0)),"UNASSIGNED")</f>
        <v>2 · Marketing Hub</v>
      </c>
      <c r="E115" s="19" t="s">
        <v>1724</v>
      </c>
      <c r="F115" s="19" t="s">
        <v>1725</v>
      </c>
      <c r="G115" s="19" t="s">
        <v>1315</v>
      </c>
      <c r="H115" s="19" t="s">
        <v>1726</v>
      </c>
      <c r="I115" s="19" t="s">
        <v>1727</v>
      </c>
      <c r="J115" s="19" t="s">
        <v>1068</v>
      </c>
      <c r="K115" s="19" t="s">
        <v>1319</v>
      </c>
      <c r="L115" s="19" t="s">
        <v>1320</v>
      </c>
      <c r="M115" s="19" t="s">
        <v>476</v>
      </c>
      <c r="N115" s="19"/>
      <c r="O115" s="19" t="s">
        <v>1321</v>
      </c>
    </row>
    <row r="116" customFormat="false" ht="32.8" hidden="false" customHeight="false" outlineLevel="0" collapsed="false">
      <c r="A116" s="19" t="s">
        <v>1728</v>
      </c>
      <c r="B116" s="19" t="s">
        <v>603</v>
      </c>
      <c r="C116" s="19" t="str">
        <f aca="false">IFERROR(INDEX('Agent Roster'!$B:$B,MATCH(B116,'Agent Roster'!$A:$A,0)),"UNASSIGNED")</f>
        <v>Sales Call Copilot (7-Step Script)</v>
      </c>
      <c r="D116" s="19" t="str">
        <f aca="false">IFERROR(INDEX('Agent Roster'!$D:$D,MATCH(B116,'Agent Roster'!$A:$A,0)),"UNASSIGNED")</f>
        <v>3 · Sales Hub</v>
      </c>
      <c r="E116" s="19" t="s">
        <v>1724</v>
      </c>
      <c r="F116" s="19" t="s">
        <v>1729</v>
      </c>
      <c r="G116" s="19" t="s">
        <v>1315</v>
      </c>
      <c r="H116" s="19" t="s">
        <v>1726</v>
      </c>
      <c r="I116" s="19" t="s">
        <v>1730</v>
      </c>
      <c r="J116" s="19" t="s">
        <v>1068</v>
      </c>
      <c r="K116" s="19" t="s">
        <v>1325</v>
      </c>
      <c r="L116" s="19" t="s">
        <v>1326</v>
      </c>
      <c r="M116" s="19" t="s">
        <v>603</v>
      </c>
      <c r="N116" s="19"/>
      <c r="O116" s="19" t="s">
        <v>1321</v>
      </c>
    </row>
    <row r="117" customFormat="false" ht="32.8" hidden="false" customHeight="false" outlineLevel="0" collapsed="false">
      <c r="A117" s="19" t="s">
        <v>1731</v>
      </c>
      <c r="B117" s="19" t="s">
        <v>618</v>
      </c>
      <c r="C117" s="19" t="str">
        <f aca="false">IFERROR(INDEX('Agent Roster'!$B:$B,MATCH(B117,'Agent Roster'!$A:$A,0)),"UNASSIGNED")</f>
        <v>Objection Handling Coach (I.A.C.E.)</v>
      </c>
      <c r="D117" s="19" t="str">
        <f aca="false">IFERROR(INDEX('Agent Roster'!$D:$D,MATCH(B117,'Agent Roster'!$A:$A,0)),"UNASSIGNED")</f>
        <v>3 · Sales Hub</v>
      </c>
      <c r="E117" s="19" t="s">
        <v>1724</v>
      </c>
      <c r="F117" s="19" t="s">
        <v>1732</v>
      </c>
      <c r="G117" s="19" t="s">
        <v>1315</v>
      </c>
      <c r="H117" s="19" t="s">
        <v>1726</v>
      </c>
      <c r="I117" s="19" t="s">
        <v>1733</v>
      </c>
      <c r="J117" s="19" t="s">
        <v>1068</v>
      </c>
      <c r="K117" s="19" t="s">
        <v>1330</v>
      </c>
      <c r="L117" s="19" t="s">
        <v>1331</v>
      </c>
      <c r="M117" s="19" t="s">
        <v>618</v>
      </c>
      <c r="N117" s="19"/>
      <c r="O117" s="19" t="s">
        <v>1321</v>
      </c>
    </row>
    <row r="118" customFormat="false" ht="32.8" hidden="false" customHeight="false" outlineLevel="0" collapsed="false">
      <c r="A118" s="19" t="s">
        <v>1734</v>
      </c>
      <c r="B118" s="19" t="s">
        <v>1169</v>
      </c>
      <c r="C118" s="19" t="str">
        <f aca="false">IFERROR(INDEX('Agent Roster'!$B:$B,MATCH(B118,'Agent Roster'!$A:$A,0)),"UNASSIGNED")</f>
        <v>Expansion &amp; Referral Agent</v>
      </c>
      <c r="D118" s="19" t="str">
        <f aca="false">IFERROR(INDEX('Agent Roster'!$D:$D,MATCH(B118,'Agent Roster'!$A:$A,0)),"UNASSIGNED")</f>
        <v>8 · Client Success Hub</v>
      </c>
      <c r="E118" s="19" t="s">
        <v>1724</v>
      </c>
      <c r="F118" s="19" t="s">
        <v>1735</v>
      </c>
      <c r="G118" s="19" t="s">
        <v>1315</v>
      </c>
      <c r="H118" s="19" t="s">
        <v>1726</v>
      </c>
      <c r="I118" s="19" t="s">
        <v>1736</v>
      </c>
      <c r="J118" s="19" t="s">
        <v>1068</v>
      </c>
      <c r="K118" s="19" t="s">
        <v>1335</v>
      </c>
      <c r="L118" s="19" t="s">
        <v>1336</v>
      </c>
      <c r="M118" s="19" t="s">
        <v>1169</v>
      </c>
      <c r="N118" s="19"/>
      <c r="O118" s="19" t="s">
        <v>1321</v>
      </c>
    </row>
    <row r="119" customFormat="false" ht="32.8" hidden="false" customHeight="false" outlineLevel="0" collapsed="false">
      <c r="A119" s="19" t="s">
        <v>1737</v>
      </c>
      <c r="B119" s="19" t="s">
        <v>587</v>
      </c>
      <c r="C119" s="19" t="str">
        <f aca="false">IFERROR(INDEX('Agent Roster'!$B:$B,MATCH(B119,'Agent Roster'!$A:$A,0)),"UNASSIGNED")</f>
        <v>Pipeline Manager Agent</v>
      </c>
      <c r="D119" s="19" t="str">
        <f aca="false">IFERROR(INDEX('Agent Roster'!$D:$D,MATCH(B119,'Agent Roster'!$A:$A,0)),"UNASSIGNED")</f>
        <v>3 · Sales Hub</v>
      </c>
      <c r="E119" s="19" t="s">
        <v>1724</v>
      </c>
      <c r="F119" s="19" t="s">
        <v>1738</v>
      </c>
      <c r="G119" s="19" t="s">
        <v>1315</v>
      </c>
      <c r="H119" s="19" t="s">
        <v>1726</v>
      </c>
      <c r="I119" s="19" t="s">
        <v>1739</v>
      </c>
      <c r="J119" s="19" t="s">
        <v>1068</v>
      </c>
      <c r="K119" s="19" t="s">
        <v>1340</v>
      </c>
      <c r="L119" s="19" t="s">
        <v>1341</v>
      </c>
      <c r="M119" s="19" t="s">
        <v>587</v>
      </c>
      <c r="N119" s="19"/>
      <c r="O119" s="19" t="s">
        <v>1321</v>
      </c>
    </row>
    <row r="120" customFormat="false" ht="32.8" hidden="false" customHeight="false" outlineLevel="0" collapsed="false">
      <c r="A120" s="19" t="s">
        <v>1740</v>
      </c>
      <c r="B120" s="19" t="s">
        <v>686</v>
      </c>
      <c r="C120" s="19" t="str">
        <f aca="false">IFERROR(INDEX('Agent Roster'!$B:$B,MATCH(B120,'Agent Roster'!$A:$A,0)),"UNASSIGNED")</f>
        <v>Funnel Conversion Analyst</v>
      </c>
      <c r="D120" s="19" t="str">
        <f aca="false">IFERROR(INDEX('Agent Roster'!$D:$D,MATCH(B120,'Agent Roster'!$A:$A,0)),"UNASSIGNED")</f>
        <v>3 · Sales Hub</v>
      </c>
      <c r="E120" s="19" t="s">
        <v>1724</v>
      </c>
      <c r="F120" s="19" t="s">
        <v>1741</v>
      </c>
      <c r="G120" s="19" t="s">
        <v>1315</v>
      </c>
      <c r="H120" s="19" t="s">
        <v>1726</v>
      </c>
      <c r="I120" s="19" t="s">
        <v>695</v>
      </c>
      <c r="J120" s="19" t="s">
        <v>1068</v>
      </c>
      <c r="K120" s="19" t="s">
        <v>1345</v>
      </c>
      <c r="L120" s="19" t="s">
        <v>1346</v>
      </c>
      <c r="M120" s="19" t="s">
        <v>686</v>
      </c>
      <c r="N120" s="19"/>
      <c r="O120" s="19" t="s">
        <v>1321</v>
      </c>
    </row>
    <row r="121" customFormat="false" ht="32.8" hidden="false" customHeight="false" outlineLevel="0" collapsed="false">
      <c r="A121" s="19" t="s">
        <v>1742</v>
      </c>
      <c r="B121" s="19" t="s">
        <v>557</v>
      </c>
      <c r="C121" s="19" t="str">
        <f aca="false">IFERROR(INDEX('Agent Roster'!$B:$B,MATCH(B121,'Agent Roster'!$A:$A,0)),"UNASSIGNED")</f>
        <v>Sales Hub Lead (ACE Creation owner)</v>
      </c>
      <c r="D121" s="19" t="str">
        <f aca="false">IFERROR(INDEX('Agent Roster'!$D:$D,MATCH(B121,'Agent Roster'!$A:$A,0)),"UNASSIGNED")</f>
        <v>3 · Sales Hub</v>
      </c>
      <c r="E121" s="19" t="s">
        <v>1724</v>
      </c>
      <c r="F121" s="19" t="s">
        <v>1743</v>
      </c>
      <c r="G121" s="19" t="s">
        <v>1315</v>
      </c>
      <c r="H121" s="19" t="s">
        <v>1726</v>
      </c>
      <c r="I121" s="19" t="s">
        <v>1744</v>
      </c>
      <c r="J121" s="19" t="s">
        <v>1068</v>
      </c>
      <c r="K121" s="19" t="s">
        <v>1350</v>
      </c>
      <c r="L121" s="19" t="s">
        <v>1376</v>
      </c>
      <c r="M121" s="19" t="s">
        <v>1377</v>
      </c>
      <c r="N121" s="19"/>
      <c r="O121" s="19" t="s">
        <v>1321</v>
      </c>
    </row>
    <row r="122" customFormat="false" ht="22.35" hidden="false" customHeight="false" outlineLevel="0" collapsed="false">
      <c r="A122" s="19" t="s">
        <v>1745</v>
      </c>
      <c r="B122" s="19" t="s">
        <v>79</v>
      </c>
      <c r="C122" s="19" t="str">
        <f aca="false">IFERROR(INDEX('Agent Roster'!$B:$B,MATCH(B122,'Agent Roster'!$A:$A,0)),"UNASSIGNED")</f>
        <v>Falsifiability Agent (Layer ◇)</v>
      </c>
      <c r="D122" s="19" t="str">
        <f aca="false">IFERROR(INDEX('Agent Roster'!$D:$D,MATCH(B122,'Agent Roster'!$A:$A,0)),"UNASSIGNED")</f>
        <v>Governance &amp; Meta-Tier</v>
      </c>
      <c r="E122" s="19" t="s">
        <v>1746</v>
      </c>
      <c r="F122" s="19" t="s">
        <v>1747</v>
      </c>
      <c r="G122" s="19" t="s">
        <v>1315</v>
      </c>
      <c r="H122" s="19" t="s">
        <v>1748</v>
      </c>
      <c r="I122" s="19" t="s">
        <v>1749</v>
      </c>
      <c r="J122" s="19" t="s">
        <v>1750</v>
      </c>
      <c r="K122" s="19" t="s">
        <v>1319</v>
      </c>
      <c r="L122" s="19" t="s">
        <v>1320</v>
      </c>
      <c r="M122" s="19" t="s">
        <v>79</v>
      </c>
      <c r="N122" s="19"/>
      <c r="O122" s="19" t="s">
        <v>1321</v>
      </c>
    </row>
    <row r="123" customFormat="false" ht="22.35" hidden="false" customHeight="false" outlineLevel="0" collapsed="false">
      <c r="A123" s="19" t="s">
        <v>1751</v>
      </c>
      <c r="B123" s="19" t="s">
        <v>79</v>
      </c>
      <c r="C123" s="19" t="str">
        <f aca="false">IFERROR(INDEX('Agent Roster'!$B:$B,MATCH(B123,'Agent Roster'!$A:$A,0)),"UNASSIGNED")</f>
        <v>Falsifiability Agent (Layer ◇)</v>
      </c>
      <c r="D123" s="19" t="str">
        <f aca="false">IFERROR(INDEX('Agent Roster'!$D:$D,MATCH(B123,'Agent Roster'!$A:$A,0)),"UNASSIGNED")</f>
        <v>Governance &amp; Meta-Tier</v>
      </c>
      <c r="E123" s="19" t="s">
        <v>1746</v>
      </c>
      <c r="F123" s="19" t="s">
        <v>1752</v>
      </c>
      <c r="G123" s="19" t="s">
        <v>1315</v>
      </c>
      <c r="H123" s="19" t="s">
        <v>1748</v>
      </c>
      <c r="I123" s="19" t="s">
        <v>1753</v>
      </c>
      <c r="J123" s="19" t="s">
        <v>1750</v>
      </c>
      <c r="K123" s="19" t="s">
        <v>1325</v>
      </c>
      <c r="L123" s="19" t="s">
        <v>1326</v>
      </c>
      <c r="M123" s="19" t="s">
        <v>79</v>
      </c>
      <c r="N123" s="19"/>
      <c r="O123" s="19" t="s">
        <v>1321</v>
      </c>
    </row>
    <row r="124" customFormat="false" ht="22.35" hidden="false" customHeight="false" outlineLevel="0" collapsed="false">
      <c r="A124" s="19" t="s">
        <v>1754</v>
      </c>
      <c r="B124" s="19" t="s">
        <v>79</v>
      </c>
      <c r="C124" s="19" t="str">
        <f aca="false">IFERROR(INDEX('Agent Roster'!$B:$B,MATCH(B124,'Agent Roster'!$A:$A,0)),"UNASSIGNED")</f>
        <v>Falsifiability Agent (Layer ◇)</v>
      </c>
      <c r="D124" s="19" t="str">
        <f aca="false">IFERROR(INDEX('Agent Roster'!$D:$D,MATCH(B124,'Agent Roster'!$A:$A,0)),"UNASSIGNED")</f>
        <v>Governance &amp; Meta-Tier</v>
      </c>
      <c r="E124" s="19" t="s">
        <v>1746</v>
      </c>
      <c r="F124" s="19" t="s">
        <v>1755</v>
      </c>
      <c r="G124" s="19" t="s">
        <v>1315</v>
      </c>
      <c r="H124" s="19" t="s">
        <v>1748</v>
      </c>
      <c r="I124" s="19" t="s">
        <v>1756</v>
      </c>
      <c r="J124" s="19" t="s">
        <v>1750</v>
      </c>
      <c r="K124" s="19" t="s">
        <v>1330</v>
      </c>
      <c r="L124" s="19" t="s">
        <v>1331</v>
      </c>
      <c r="M124" s="19" t="s">
        <v>79</v>
      </c>
      <c r="N124" s="19"/>
      <c r="O124" s="19" t="s">
        <v>1321</v>
      </c>
    </row>
    <row r="125" customFormat="false" ht="22.35" hidden="false" customHeight="false" outlineLevel="0" collapsed="false">
      <c r="A125" s="19" t="s">
        <v>1757</v>
      </c>
      <c r="B125" s="19" t="s">
        <v>79</v>
      </c>
      <c r="C125" s="19" t="str">
        <f aca="false">IFERROR(INDEX('Agent Roster'!$B:$B,MATCH(B125,'Agent Roster'!$A:$A,0)),"UNASSIGNED")</f>
        <v>Falsifiability Agent (Layer ◇)</v>
      </c>
      <c r="D125" s="19" t="str">
        <f aca="false">IFERROR(INDEX('Agent Roster'!$D:$D,MATCH(B125,'Agent Roster'!$A:$A,0)),"UNASSIGNED")</f>
        <v>Governance &amp; Meta-Tier</v>
      </c>
      <c r="E125" s="19" t="s">
        <v>1746</v>
      </c>
      <c r="F125" s="19" t="s">
        <v>1758</v>
      </c>
      <c r="G125" s="19" t="s">
        <v>1315</v>
      </c>
      <c r="H125" s="19" t="s">
        <v>1748</v>
      </c>
      <c r="I125" s="19" t="s">
        <v>1759</v>
      </c>
      <c r="J125" s="19" t="s">
        <v>1750</v>
      </c>
      <c r="K125" s="19" t="s">
        <v>1335</v>
      </c>
      <c r="L125" s="19" t="s">
        <v>1336</v>
      </c>
      <c r="M125" s="19" t="s">
        <v>79</v>
      </c>
      <c r="N125" s="19"/>
      <c r="O125" s="19" t="s">
        <v>1321</v>
      </c>
    </row>
    <row r="126" customFormat="false" ht="22.35" hidden="false" customHeight="false" outlineLevel="0" collapsed="false">
      <c r="A126" s="19" t="s">
        <v>1760</v>
      </c>
      <c r="B126" s="19" t="s">
        <v>79</v>
      </c>
      <c r="C126" s="19" t="str">
        <f aca="false">IFERROR(INDEX('Agent Roster'!$B:$B,MATCH(B126,'Agent Roster'!$A:$A,0)),"UNASSIGNED")</f>
        <v>Falsifiability Agent (Layer ◇)</v>
      </c>
      <c r="D126" s="19" t="str">
        <f aca="false">IFERROR(INDEX('Agent Roster'!$D:$D,MATCH(B126,'Agent Roster'!$A:$A,0)),"UNASSIGNED")</f>
        <v>Governance &amp; Meta-Tier</v>
      </c>
      <c r="E126" s="19" t="s">
        <v>1746</v>
      </c>
      <c r="F126" s="19" t="s">
        <v>1761</v>
      </c>
      <c r="G126" s="19" t="s">
        <v>1315</v>
      </c>
      <c r="H126" s="19" t="s">
        <v>1748</v>
      </c>
      <c r="I126" s="19" t="s">
        <v>1762</v>
      </c>
      <c r="J126" s="19" t="s">
        <v>1750</v>
      </c>
      <c r="K126" s="19" t="s">
        <v>1340</v>
      </c>
      <c r="L126" s="19" t="s">
        <v>1341</v>
      </c>
      <c r="M126" s="19" t="s">
        <v>79</v>
      </c>
      <c r="N126" s="19"/>
      <c r="O126" s="19" t="s">
        <v>1321</v>
      </c>
    </row>
    <row r="127" customFormat="false" ht="22.35" hidden="false" customHeight="false" outlineLevel="0" collapsed="false">
      <c r="A127" s="19" t="s">
        <v>1763</v>
      </c>
      <c r="B127" s="19" t="s">
        <v>79</v>
      </c>
      <c r="C127" s="19" t="str">
        <f aca="false">IFERROR(INDEX('Agent Roster'!$B:$B,MATCH(B127,'Agent Roster'!$A:$A,0)),"UNASSIGNED")</f>
        <v>Falsifiability Agent (Layer ◇)</v>
      </c>
      <c r="D127" s="19" t="str">
        <f aca="false">IFERROR(INDEX('Agent Roster'!$D:$D,MATCH(B127,'Agent Roster'!$A:$A,0)),"UNASSIGNED")</f>
        <v>Governance &amp; Meta-Tier</v>
      </c>
      <c r="E127" s="19" t="s">
        <v>1746</v>
      </c>
      <c r="F127" s="19" t="s">
        <v>1764</v>
      </c>
      <c r="G127" s="19" t="s">
        <v>1315</v>
      </c>
      <c r="H127" s="19" t="s">
        <v>1748</v>
      </c>
      <c r="I127" s="19" t="s">
        <v>1765</v>
      </c>
      <c r="J127" s="19" t="s">
        <v>1750</v>
      </c>
      <c r="K127" s="19" t="s">
        <v>1345</v>
      </c>
      <c r="L127" s="19" t="s">
        <v>1346</v>
      </c>
      <c r="M127" s="19" t="s">
        <v>79</v>
      </c>
      <c r="N127" s="19"/>
      <c r="O127" s="19" t="s">
        <v>1321</v>
      </c>
    </row>
    <row r="128" customFormat="false" ht="22.35" hidden="false" customHeight="false" outlineLevel="0" collapsed="false">
      <c r="A128" s="19" t="s">
        <v>1766</v>
      </c>
      <c r="B128" s="19" t="s">
        <v>79</v>
      </c>
      <c r="C128" s="19" t="str">
        <f aca="false">IFERROR(INDEX('Agent Roster'!$B:$B,MATCH(B128,'Agent Roster'!$A:$A,0)),"UNASSIGNED")</f>
        <v>Falsifiability Agent (Layer ◇)</v>
      </c>
      <c r="D128" s="19" t="str">
        <f aca="false">IFERROR(INDEX('Agent Roster'!$D:$D,MATCH(B128,'Agent Roster'!$A:$A,0)),"UNASSIGNED")</f>
        <v>Governance &amp; Meta-Tier</v>
      </c>
      <c r="E128" s="19" t="s">
        <v>1746</v>
      </c>
      <c r="F128" s="19" t="s">
        <v>1767</v>
      </c>
      <c r="G128" s="19" t="s">
        <v>1315</v>
      </c>
      <c r="H128" s="19" t="s">
        <v>1748</v>
      </c>
      <c r="I128" s="19" t="s">
        <v>1768</v>
      </c>
      <c r="J128" s="19" t="s">
        <v>1750</v>
      </c>
      <c r="K128" s="19" t="s">
        <v>1350</v>
      </c>
      <c r="L128" s="19" t="s">
        <v>1376</v>
      </c>
      <c r="M128" s="19" t="s">
        <v>1377</v>
      </c>
      <c r="N128" s="19"/>
      <c r="O128" s="19" t="s">
        <v>1321</v>
      </c>
    </row>
    <row r="129" customFormat="false" ht="22.35" hidden="false" customHeight="false" outlineLevel="0" collapsed="false">
      <c r="A129" s="19" t="s">
        <v>1769</v>
      </c>
      <c r="B129" s="19" t="s">
        <v>663</v>
      </c>
      <c r="C129" s="19" t="str">
        <f aca="false">IFERROR(INDEX('Agent Roster'!$B:$B,MATCH(B129,'Agent Roster'!$A:$A,0)),"UNASSIGNED")</f>
        <v>Negotiation &amp; Influence Agent</v>
      </c>
      <c r="D129" s="19" t="str">
        <f aca="false">IFERROR(INDEX('Agent Roster'!$D:$D,MATCH(B129,'Agent Roster'!$A:$A,0)),"UNASSIGNED")</f>
        <v>3 · Sales Hub</v>
      </c>
      <c r="E129" s="19" t="s">
        <v>1770</v>
      </c>
      <c r="F129" s="19" t="s">
        <v>1771</v>
      </c>
      <c r="G129" s="19" t="s">
        <v>1315</v>
      </c>
      <c r="H129" s="19" t="s">
        <v>1772</v>
      </c>
      <c r="I129" s="19" t="s">
        <v>1773</v>
      </c>
      <c r="J129" s="19" t="s">
        <v>1774</v>
      </c>
      <c r="K129" s="19" t="s">
        <v>1319</v>
      </c>
      <c r="L129" s="19" t="s">
        <v>1320</v>
      </c>
      <c r="M129" s="19" t="s">
        <v>663</v>
      </c>
      <c r="N129" s="19"/>
      <c r="O129" s="19" t="s">
        <v>1321</v>
      </c>
    </row>
    <row r="130" customFormat="false" ht="22.35" hidden="false" customHeight="false" outlineLevel="0" collapsed="false">
      <c r="A130" s="19" t="s">
        <v>1775</v>
      </c>
      <c r="B130" s="19" t="s">
        <v>663</v>
      </c>
      <c r="C130" s="19" t="str">
        <f aca="false">IFERROR(INDEX('Agent Roster'!$B:$B,MATCH(B130,'Agent Roster'!$A:$A,0)),"UNASSIGNED")</f>
        <v>Negotiation &amp; Influence Agent</v>
      </c>
      <c r="D130" s="19" t="str">
        <f aca="false">IFERROR(INDEX('Agent Roster'!$D:$D,MATCH(B130,'Agent Roster'!$A:$A,0)),"UNASSIGNED")</f>
        <v>3 · Sales Hub</v>
      </c>
      <c r="E130" s="19" t="s">
        <v>1770</v>
      </c>
      <c r="F130" s="19" t="s">
        <v>1776</v>
      </c>
      <c r="G130" s="19" t="s">
        <v>1315</v>
      </c>
      <c r="H130" s="19" t="s">
        <v>1772</v>
      </c>
      <c r="I130" s="19" t="s">
        <v>1777</v>
      </c>
      <c r="J130" s="19" t="s">
        <v>1774</v>
      </c>
      <c r="K130" s="19" t="s">
        <v>1325</v>
      </c>
      <c r="L130" s="19" t="s">
        <v>1326</v>
      </c>
      <c r="M130" s="19" t="s">
        <v>663</v>
      </c>
      <c r="N130" s="19"/>
      <c r="O130" s="19" t="s">
        <v>1321</v>
      </c>
    </row>
    <row r="131" customFormat="false" ht="22.35" hidden="false" customHeight="false" outlineLevel="0" collapsed="false">
      <c r="A131" s="19" t="s">
        <v>1778</v>
      </c>
      <c r="B131" s="19" t="s">
        <v>663</v>
      </c>
      <c r="C131" s="19" t="str">
        <f aca="false">IFERROR(INDEX('Agent Roster'!$B:$B,MATCH(B131,'Agent Roster'!$A:$A,0)),"UNASSIGNED")</f>
        <v>Negotiation &amp; Influence Agent</v>
      </c>
      <c r="D131" s="19" t="str">
        <f aca="false">IFERROR(INDEX('Agent Roster'!$D:$D,MATCH(B131,'Agent Roster'!$A:$A,0)),"UNASSIGNED")</f>
        <v>3 · Sales Hub</v>
      </c>
      <c r="E131" s="19" t="s">
        <v>1770</v>
      </c>
      <c r="F131" s="19" t="s">
        <v>1779</v>
      </c>
      <c r="G131" s="19" t="s">
        <v>1315</v>
      </c>
      <c r="H131" s="19" t="s">
        <v>1772</v>
      </c>
      <c r="I131" s="19" t="s">
        <v>1780</v>
      </c>
      <c r="J131" s="19" t="s">
        <v>1774</v>
      </c>
      <c r="K131" s="19" t="s">
        <v>1330</v>
      </c>
      <c r="L131" s="19" t="s">
        <v>1331</v>
      </c>
      <c r="M131" s="19" t="s">
        <v>663</v>
      </c>
      <c r="N131" s="19"/>
      <c r="O131" s="19" t="s">
        <v>1321</v>
      </c>
    </row>
    <row r="132" customFormat="false" ht="22.35" hidden="false" customHeight="false" outlineLevel="0" collapsed="false">
      <c r="A132" s="19" t="s">
        <v>1781</v>
      </c>
      <c r="B132" s="19" t="s">
        <v>663</v>
      </c>
      <c r="C132" s="19" t="str">
        <f aca="false">IFERROR(INDEX('Agent Roster'!$B:$B,MATCH(B132,'Agent Roster'!$A:$A,0)),"UNASSIGNED")</f>
        <v>Negotiation &amp; Influence Agent</v>
      </c>
      <c r="D132" s="19" t="str">
        <f aca="false">IFERROR(INDEX('Agent Roster'!$D:$D,MATCH(B132,'Agent Roster'!$A:$A,0)),"UNASSIGNED")</f>
        <v>3 · Sales Hub</v>
      </c>
      <c r="E132" s="19" t="s">
        <v>1770</v>
      </c>
      <c r="F132" s="19" t="s">
        <v>1782</v>
      </c>
      <c r="G132" s="19" t="s">
        <v>1315</v>
      </c>
      <c r="H132" s="19" t="s">
        <v>1772</v>
      </c>
      <c r="I132" s="19" t="s">
        <v>1783</v>
      </c>
      <c r="J132" s="19" t="s">
        <v>1774</v>
      </c>
      <c r="K132" s="19" t="s">
        <v>1335</v>
      </c>
      <c r="L132" s="19" t="s">
        <v>1336</v>
      </c>
      <c r="M132" s="19" t="s">
        <v>663</v>
      </c>
      <c r="N132" s="19"/>
      <c r="O132" s="19" t="s">
        <v>1321</v>
      </c>
    </row>
    <row r="133" customFormat="false" ht="22.35" hidden="false" customHeight="false" outlineLevel="0" collapsed="false">
      <c r="A133" s="19" t="s">
        <v>1784</v>
      </c>
      <c r="B133" s="19" t="s">
        <v>663</v>
      </c>
      <c r="C133" s="19" t="str">
        <f aca="false">IFERROR(INDEX('Agent Roster'!$B:$B,MATCH(B133,'Agent Roster'!$A:$A,0)),"UNASSIGNED")</f>
        <v>Negotiation &amp; Influence Agent</v>
      </c>
      <c r="D133" s="19" t="str">
        <f aca="false">IFERROR(INDEX('Agent Roster'!$D:$D,MATCH(B133,'Agent Roster'!$A:$A,0)),"UNASSIGNED")</f>
        <v>3 · Sales Hub</v>
      </c>
      <c r="E133" s="19" t="s">
        <v>1770</v>
      </c>
      <c r="F133" s="19" t="s">
        <v>1785</v>
      </c>
      <c r="G133" s="19" t="s">
        <v>1315</v>
      </c>
      <c r="H133" s="19" t="s">
        <v>1772</v>
      </c>
      <c r="I133" s="19" t="s">
        <v>1786</v>
      </c>
      <c r="J133" s="19" t="s">
        <v>1774</v>
      </c>
      <c r="K133" s="19" t="s">
        <v>1340</v>
      </c>
      <c r="L133" s="19" t="s">
        <v>1341</v>
      </c>
      <c r="M133" s="19" t="s">
        <v>663</v>
      </c>
      <c r="N133" s="19"/>
      <c r="O133" s="19" t="s">
        <v>1321</v>
      </c>
    </row>
    <row r="134" customFormat="false" ht="15" hidden="false" customHeight="false" outlineLevel="0" collapsed="false">
      <c r="A134" s="19" t="s">
        <v>1787</v>
      </c>
      <c r="B134" s="19" t="s">
        <v>663</v>
      </c>
      <c r="C134" s="19" t="str">
        <f aca="false">IFERROR(INDEX('Agent Roster'!$B:$B,MATCH(B134,'Agent Roster'!$A:$A,0)),"UNASSIGNED")</f>
        <v>Negotiation &amp; Influence Agent</v>
      </c>
      <c r="D134" s="19" t="str">
        <f aca="false">IFERROR(INDEX('Agent Roster'!$D:$D,MATCH(B134,'Agent Roster'!$A:$A,0)),"UNASSIGNED")</f>
        <v>3 · Sales Hub</v>
      </c>
      <c r="E134" s="19" t="s">
        <v>1770</v>
      </c>
      <c r="F134" s="19" t="s">
        <v>1788</v>
      </c>
      <c r="G134" s="19" t="s">
        <v>1315</v>
      </c>
      <c r="H134" s="19" t="s">
        <v>1772</v>
      </c>
      <c r="I134" s="19" t="s">
        <v>1789</v>
      </c>
      <c r="J134" s="19" t="s">
        <v>1774</v>
      </c>
      <c r="K134" s="19" t="s">
        <v>1345</v>
      </c>
      <c r="L134" s="19" t="s">
        <v>1346</v>
      </c>
      <c r="M134" s="19" t="s">
        <v>663</v>
      </c>
      <c r="N134" s="19"/>
      <c r="O134" s="19" t="s">
        <v>1321</v>
      </c>
    </row>
    <row r="135" customFormat="false" ht="15" hidden="false" customHeight="false" outlineLevel="0" collapsed="false">
      <c r="A135" s="19" t="s">
        <v>1790</v>
      </c>
      <c r="B135" s="19" t="s">
        <v>663</v>
      </c>
      <c r="C135" s="19" t="str">
        <f aca="false">IFERROR(INDEX('Agent Roster'!$B:$B,MATCH(B135,'Agent Roster'!$A:$A,0)),"UNASSIGNED")</f>
        <v>Negotiation &amp; Influence Agent</v>
      </c>
      <c r="D135" s="19" t="str">
        <f aca="false">IFERROR(INDEX('Agent Roster'!$D:$D,MATCH(B135,'Agent Roster'!$A:$A,0)),"UNASSIGNED")</f>
        <v>3 · Sales Hub</v>
      </c>
      <c r="E135" s="19" t="s">
        <v>1770</v>
      </c>
      <c r="F135" s="19" t="s">
        <v>1791</v>
      </c>
      <c r="G135" s="19" t="s">
        <v>1315</v>
      </c>
      <c r="H135" s="19" t="s">
        <v>1772</v>
      </c>
      <c r="I135" s="19" t="s">
        <v>1792</v>
      </c>
      <c r="J135" s="19" t="s">
        <v>1774</v>
      </c>
      <c r="K135" s="19" t="s">
        <v>1350</v>
      </c>
      <c r="L135" s="19" t="s">
        <v>1351</v>
      </c>
      <c r="M135" s="19" t="s">
        <v>663</v>
      </c>
      <c r="N135" s="19"/>
      <c r="O135" s="19" t="s">
        <v>1321</v>
      </c>
    </row>
    <row r="136" customFormat="false" ht="22.35" hidden="false" customHeight="false" outlineLevel="0" collapsed="false">
      <c r="A136" s="19" t="s">
        <v>1793</v>
      </c>
      <c r="B136" s="19" t="s">
        <v>663</v>
      </c>
      <c r="C136" s="19" t="str">
        <f aca="false">IFERROR(INDEX('Agent Roster'!$B:$B,MATCH(B136,'Agent Roster'!$A:$A,0)),"UNASSIGNED")</f>
        <v>Negotiation &amp; Influence Agent</v>
      </c>
      <c r="D136" s="19" t="str">
        <f aca="false">IFERROR(INDEX('Agent Roster'!$D:$D,MATCH(B136,'Agent Roster'!$A:$A,0)),"UNASSIGNED")</f>
        <v>3 · Sales Hub</v>
      </c>
      <c r="E136" s="19" t="s">
        <v>1770</v>
      </c>
      <c r="F136" s="19" t="s">
        <v>1794</v>
      </c>
      <c r="G136" s="19" t="s">
        <v>1315</v>
      </c>
      <c r="H136" s="19" t="s">
        <v>1772</v>
      </c>
      <c r="I136" s="19" t="s">
        <v>1795</v>
      </c>
      <c r="J136" s="19" t="s">
        <v>1774</v>
      </c>
      <c r="K136" s="19" t="s">
        <v>1355</v>
      </c>
      <c r="L136" s="19" t="s">
        <v>1356</v>
      </c>
      <c r="M136" s="19" t="s">
        <v>663</v>
      </c>
      <c r="N136" s="19"/>
      <c r="O136" s="19" t="s">
        <v>1321</v>
      </c>
    </row>
    <row r="137" customFormat="false" ht="22.35" hidden="false" customHeight="false" outlineLevel="0" collapsed="false">
      <c r="A137" s="19" t="s">
        <v>1796</v>
      </c>
      <c r="B137" s="19" t="s">
        <v>663</v>
      </c>
      <c r="C137" s="19" t="str">
        <f aca="false">IFERROR(INDEX('Agent Roster'!$B:$B,MATCH(B137,'Agent Roster'!$A:$A,0)),"UNASSIGNED")</f>
        <v>Negotiation &amp; Influence Agent</v>
      </c>
      <c r="D137" s="19" t="str">
        <f aca="false">IFERROR(INDEX('Agent Roster'!$D:$D,MATCH(B137,'Agent Roster'!$A:$A,0)),"UNASSIGNED")</f>
        <v>3 · Sales Hub</v>
      </c>
      <c r="E137" s="19" t="s">
        <v>1770</v>
      </c>
      <c r="F137" s="19" t="s">
        <v>1797</v>
      </c>
      <c r="G137" s="19" t="s">
        <v>1315</v>
      </c>
      <c r="H137" s="19" t="s">
        <v>1772</v>
      </c>
      <c r="I137" s="19" t="s">
        <v>1798</v>
      </c>
      <c r="J137" s="19" t="s">
        <v>1774</v>
      </c>
      <c r="K137" s="19" t="s">
        <v>1360</v>
      </c>
      <c r="L137" s="19" t="s">
        <v>1376</v>
      </c>
      <c r="M137" s="19" t="s">
        <v>1377</v>
      </c>
      <c r="N137" s="19"/>
      <c r="O137" s="19" t="s">
        <v>1321</v>
      </c>
    </row>
    <row r="138" customFormat="false" ht="22.35" hidden="false" customHeight="false" outlineLevel="0" collapsed="false">
      <c r="A138" s="19" t="s">
        <v>1799</v>
      </c>
      <c r="B138" s="19" t="s">
        <v>1054</v>
      </c>
      <c r="C138" s="19" t="str">
        <f aca="false">IFERROR(INDEX('Agent Roster'!$B:$B,MATCH(B138,'Agent Roster'!$A:$A,0)),"UNASSIGNED")</f>
        <v>Software Development Agent</v>
      </c>
      <c r="D138" s="19" t="str">
        <f aca="false">IFERROR(INDEX('Agent Roster'!$D:$D,MATCH(B138,'Agent Roster'!$A:$A,0)),"UNASSIGNED")</f>
        <v>7 · Technology Hub</v>
      </c>
      <c r="E138" s="19" t="s">
        <v>1800</v>
      </c>
      <c r="F138" s="19" t="s">
        <v>1801</v>
      </c>
      <c r="G138" s="19" t="s">
        <v>1315</v>
      </c>
      <c r="H138" s="19" t="s">
        <v>1057</v>
      </c>
      <c r="I138" s="19" t="s">
        <v>1802</v>
      </c>
      <c r="J138" s="19" t="s">
        <v>1803</v>
      </c>
      <c r="K138" s="19" t="s">
        <v>1319</v>
      </c>
      <c r="L138" s="19" t="s">
        <v>1320</v>
      </c>
      <c r="M138" s="19" t="s">
        <v>1054</v>
      </c>
      <c r="N138" s="19"/>
      <c r="O138" s="19" t="s">
        <v>1321</v>
      </c>
    </row>
    <row r="139" customFormat="false" ht="22.35" hidden="false" customHeight="false" outlineLevel="0" collapsed="false">
      <c r="A139" s="19" t="s">
        <v>1804</v>
      </c>
      <c r="B139" s="19" t="s">
        <v>1054</v>
      </c>
      <c r="C139" s="19" t="str">
        <f aca="false">IFERROR(INDEX('Agent Roster'!$B:$B,MATCH(B139,'Agent Roster'!$A:$A,0)),"UNASSIGNED")</f>
        <v>Software Development Agent</v>
      </c>
      <c r="D139" s="19" t="str">
        <f aca="false">IFERROR(INDEX('Agent Roster'!$D:$D,MATCH(B139,'Agent Roster'!$A:$A,0)),"UNASSIGNED")</f>
        <v>7 · Technology Hub</v>
      </c>
      <c r="E139" s="19" t="s">
        <v>1800</v>
      </c>
      <c r="F139" s="19" t="s">
        <v>1805</v>
      </c>
      <c r="G139" s="19" t="s">
        <v>1315</v>
      </c>
      <c r="H139" s="19" t="s">
        <v>1057</v>
      </c>
      <c r="I139" s="19" t="s">
        <v>1806</v>
      </c>
      <c r="J139" s="19" t="s">
        <v>1803</v>
      </c>
      <c r="K139" s="19" t="s">
        <v>1325</v>
      </c>
      <c r="L139" s="19" t="s">
        <v>1326</v>
      </c>
      <c r="M139" s="19" t="s">
        <v>1054</v>
      </c>
      <c r="N139" s="19"/>
      <c r="O139" s="19" t="s">
        <v>1321</v>
      </c>
    </row>
    <row r="140" customFormat="false" ht="22.35" hidden="false" customHeight="false" outlineLevel="0" collapsed="false">
      <c r="A140" s="19" t="s">
        <v>1807</v>
      </c>
      <c r="B140" s="19" t="s">
        <v>1054</v>
      </c>
      <c r="C140" s="19" t="str">
        <f aca="false">IFERROR(INDEX('Agent Roster'!$B:$B,MATCH(B140,'Agent Roster'!$A:$A,0)),"UNASSIGNED")</f>
        <v>Software Development Agent</v>
      </c>
      <c r="D140" s="19" t="str">
        <f aca="false">IFERROR(INDEX('Agent Roster'!$D:$D,MATCH(B140,'Agent Roster'!$A:$A,0)),"UNASSIGNED")</f>
        <v>7 · Technology Hub</v>
      </c>
      <c r="E140" s="19" t="s">
        <v>1800</v>
      </c>
      <c r="F140" s="19" t="s">
        <v>1808</v>
      </c>
      <c r="G140" s="19" t="s">
        <v>1315</v>
      </c>
      <c r="H140" s="19" t="s">
        <v>1057</v>
      </c>
      <c r="I140" s="19" t="s">
        <v>1809</v>
      </c>
      <c r="J140" s="19" t="s">
        <v>1803</v>
      </c>
      <c r="K140" s="19" t="s">
        <v>1330</v>
      </c>
      <c r="L140" s="19" t="s">
        <v>1331</v>
      </c>
      <c r="M140" s="19" t="s">
        <v>1054</v>
      </c>
      <c r="N140" s="19"/>
      <c r="O140" s="19" t="s">
        <v>1321</v>
      </c>
    </row>
    <row r="141" customFormat="false" ht="22.35" hidden="false" customHeight="false" outlineLevel="0" collapsed="false">
      <c r="A141" s="19" t="s">
        <v>1810</v>
      </c>
      <c r="B141" s="19" t="s">
        <v>1054</v>
      </c>
      <c r="C141" s="19" t="str">
        <f aca="false">IFERROR(INDEX('Agent Roster'!$B:$B,MATCH(B141,'Agent Roster'!$A:$A,0)),"UNASSIGNED")</f>
        <v>Software Development Agent</v>
      </c>
      <c r="D141" s="19" t="str">
        <f aca="false">IFERROR(INDEX('Agent Roster'!$D:$D,MATCH(B141,'Agent Roster'!$A:$A,0)),"UNASSIGNED")</f>
        <v>7 · Technology Hub</v>
      </c>
      <c r="E141" s="19" t="s">
        <v>1800</v>
      </c>
      <c r="F141" s="19" t="s">
        <v>1811</v>
      </c>
      <c r="G141" s="19" t="s">
        <v>1315</v>
      </c>
      <c r="H141" s="19" t="s">
        <v>1057</v>
      </c>
      <c r="I141" s="19" t="s">
        <v>1812</v>
      </c>
      <c r="J141" s="19" t="s">
        <v>1803</v>
      </c>
      <c r="K141" s="19" t="s">
        <v>1335</v>
      </c>
      <c r="L141" s="19" t="s">
        <v>1336</v>
      </c>
      <c r="M141" s="19" t="s">
        <v>1054</v>
      </c>
      <c r="N141" s="19"/>
      <c r="O141" s="19" t="s">
        <v>1321</v>
      </c>
    </row>
    <row r="142" customFormat="false" ht="22.35" hidden="false" customHeight="false" outlineLevel="0" collapsed="false">
      <c r="A142" s="19" t="s">
        <v>1813</v>
      </c>
      <c r="B142" s="19" t="s">
        <v>1054</v>
      </c>
      <c r="C142" s="19" t="str">
        <f aca="false">IFERROR(INDEX('Agent Roster'!$B:$B,MATCH(B142,'Agent Roster'!$A:$A,0)),"UNASSIGNED")</f>
        <v>Software Development Agent</v>
      </c>
      <c r="D142" s="19" t="str">
        <f aca="false">IFERROR(INDEX('Agent Roster'!$D:$D,MATCH(B142,'Agent Roster'!$A:$A,0)),"UNASSIGNED")</f>
        <v>7 · Technology Hub</v>
      </c>
      <c r="E142" s="19" t="s">
        <v>1800</v>
      </c>
      <c r="F142" s="19" t="s">
        <v>1814</v>
      </c>
      <c r="G142" s="19" t="s">
        <v>1315</v>
      </c>
      <c r="H142" s="19" t="s">
        <v>1057</v>
      </c>
      <c r="I142" s="19" t="s">
        <v>1815</v>
      </c>
      <c r="J142" s="19" t="s">
        <v>1803</v>
      </c>
      <c r="K142" s="19" t="s">
        <v>1340</v>
      </c>
      <c r="L142" s="19" t="s">
        <v>1341</v>
      </c>
      <c r="M142" s="19" t="s">
        <v>1054</v>
      </c>
      <c r="N142" s="19"/>
      <c r="O142" s="19" t="s">
        <v>1321</v>
      </c>
    </row>
    <row r="143" customFormat="false" ht="22.35" hidden="false" customHeight="false" outlineLevel="0" collapsed="false">
      <c r="A143" s="19" t="s">
        <v>1816</v>
      </c>
      <c r="B143" s="19" t="s">
        <v>1054</v>
      </c>
      <c r="C143" s="19" t="str">
        <f aca="false">IFERROR(INDEX('Agent Roster'!$B:$B,MATCH(B143,'Agent Roster'!$A:$A,0)),"UNASSIGNED")</f>
        <v>Software Development Agent</v>
      </c>
      <c r="D143" s="19" t="str">
        <f aca="false">IFERROR(INDEX('Agent Roster'!$D:$D,MATCH(B143,'Agent Roster'!$A:$A,0)),"UNASSIGNED")</f>
        <v>7 · Technology Hub</v>
      </c>
      <c r="E143" s="19" t="s">
        <v>1800</v>
      </c>
      <c r="F143" s="19" t="s">
        <v>1817</v>
      </c>
      <c r="G143" s="19" t="s">
        <v>1315</v>
      </c>
      <c r="H143" s="19" t="s">
        <v>1057</v>
      </c>
      <c r="I143" s="19" t="s">
        <v>1818</v>
      </c>
      <c r="J143" s="19" t="s">
        <v>1803</v>
      </c>
      <c r="K143" s="19" t="s">
        <v>1345</v>
      </c>
      <c r="L143" s="19" t="s">
        <v>1346</v>
      </c>
      <c r="M143" s="19" t="s">
        <v>1054</v>
      </c>
      <c r="N143" s="19"/>
      <c r="O143" s="19" t="s">
        <v>1321</v>
      </c>
    </row>
    <row r="144" customFormat="false" ht="22.35" hidden="false" customHeight="false" outlineLevel="0" collapsed="false">
      <c r="A144" s="19" t="s">
        <v>1819</v>
      </c>
      <c r="B144" s="19" t="s">
        <v>1054</v>
      </c>
      <c r="C144" s="19" t="str">
        <f aca="false">IFERROR(INDEX('Agent Roster'!$B:$B,MATCH(B144,'Agent Roster'!$A:$A,0)),"UNASSIGNED")</f>
        <v>Software Development Agent</v>
      </c>
      <c r="D144" s="19" t="str">
        <f aca="false">IFERROR(INDEX('Agent Roster'!$D:$D,MATCH(B144,'Agent Roster'!$A:$A,0)),"UNASSIGNED")</f>
        <v>7 · Technology Hub</v>
      </c>
      <c r="E144" s="19" t="s">
        <v>1800</v>
      </c>
      <c r="F144" s="19" t="s">
        <v>1820</v>
      </c>
      <c r="G144" s="19" t="s">
        <v>1315</v>
      </c>
      <c r="H144" s="19" t="s">
        <v>1057</v>
      </c>
      <c r="I144" s="19" t="s">
        <v>1821</v>
      </c>
      <c r="J144" s="19" t="s">
        <v>1803</v>
      </c>
      <c r="K144" s="19" t="s">
        <v>1350</v>
      </c>
      <c r="L144" s="19" t="s">
        <v>1351</v>
      </c>
      <c r="M144" s="19" t="s">
        <v>1054</v>
      </c>
      <c r="N144" s="19"/>
      <c r="O144" s="19" t="s">
        <v>1321</v>
      </c>
    </row>
    <row r="145" customFormat="false" ht="22.35" hidden="false" customHeight="false" outlineLevel="0" collapsed="false">
      <c r="A145" s="19" t="s">
        <v>1822</v>
      </c>
      <c r="B145" s="19" t="s">
        <v>1054</v>
      </c>
      <c r="C145" s="19" t="str">
        <f aca="false">IFERROR(INDEX('Agent Roster'!$B:$B,MATCH(B145,'Agent Roster'!$A:$A,0)),"UNASSIGNED")</f>
        <v>Software Development Agent</v>
      </c>
      <c r="D145" s="19" t="str">
        <f aca="false">IFERROR(INDEX('Agent Roster'!$D:$D,MATCH(B145,'Agent Roster'!$A:$A,0)),"UNASSIGNED")</f>
        <v>7 · Technology Hub</v>
      </c>
      <c r="E145" s="19" t="s">
        <v>1800</v>
      </c>
      <c r="F145" s="19" t="s">
        <v>1823</v>
      </c>
      <c r="G145" s="19" t="s">
        <v>1315</v>
      </c>
      <c r="H145" s="19" t="s">
        <v>1057</v>
      </c>
      <c r="I145" s="19" t="s">
        <v>1824</v>
      </c>
      <c r="J145" s="19" t="s">
        <v>1803</v>
      </c>
      <c r="K145" s="19" t="s">
        <v>1355</v>
      </c>
      <c r="L145" s="19" t="s">
        <v>1356</v>
      </c>
      <c r="M145" s="19" t="s">
        <v>1054</v>
      </c>
      <c r="N145" s="19"/>
      <c r="O145" s="19" t="s">
        <v>1321</v>
      </c>
    </row>
    <row r="146" customFormat="false" ht="22.35" hidden="false" customHeight="false" outlineLevel="0" collapsed="false">
      <c r="A146" s="19" t="s">
        <v>1825</v>
      </c>
      <c r="B146" s="19" t="s">
        <v>1054</v>
      </c>
      <c r="C146" s="19" t="str">
        <f aca="false">IFERROR(INDEX('Agent Roster'!$B:$B,MATCH(B146,'Agent Roster'!$A:$A,0)),"UNASSIGNED")</f>
        <v>Software Development Agent</v>
      </c>
      <c r="D146" s="19" t="str">
        <f aca="false">IFERROR(INDEX('Agent Roster'!$D:$D,MATCH(B146,'Agent Roster'!$A:$A,0)),"UNASSIGNED")</f>
        <v>7 · Technology Hub</v>
      </c>
      <c r="E146" s="19" t="s">
        <v>1800</v>
      </c>
      <c r="F146" s="19" t="s">
        <v>1826</v>
      </c>
      <c r="G146" s="19" t="s">
        <v>1315</v>
      </c>
      <c r="H146" s="19" t="s">
        <v>1057</v>
      </c>
      <c r="I146" s="19" t="s">
        <v>1827</v>
      </c>
      <c r="J146" s="19" t="s">
        <v>1803</v>
      </c>
      <c r="K146" s="19" t="s">
        <v>1360</v>
      </c>
      <c r="L146" s="19" t="s">
        <v>1361</v>
      </c>
      <c r="M146" s="19" t="s">
        <v>1054</v>
      </c>
      <c r="N146" s="19"/>
      <c r="O146" s="19" t="s">
        <v>1321</v>
      </c>
    </row>
    <row r="147" customFormat="false" ht="22.35" hidden="false" customHeight="false" outlineLevel="0" collapsed="false">
      <c r="A147" s="19" t="s">
        <v>1828</v>
      </c>
      <c r="B147" s="19" t="s">
        <v>1054</v>
      </c>
      <c r="C147" s="19" t="str">
        <f aca="false">IFERROR(INDEX('Agent Roster'!$B:$B,MATCH(B147,'Agent Roster'!$A:$A,0)),"UNASSIGNED")</f>
        <v>Software Development Agent</v>
      </c>
      <c r="D147" s="19" t="str">
        <f aca="false">IFERROR(INDEX('Agent Roster'!$D:$D,MATCH(B147,'Agent Roster'!$A:$A,0)),"UNASSIGNED")</f>
        <v>7 · Technology Hub</v>
      </c>
      <c r="E147" s="19" t="s">
        <v>1800</v>
      </c>
      <c r="F147" s="19" t="s">
        <v>1829</v>
      </c>
      <c r="G147" s="19" t="s">
        <v>1315</v>
      </c>
      <c r="H147" s="19" t="s">
        <v>1057</v>
      </c>
      <c r="I147" s="19" t="s">
        <v>1830</v>
      </c>
      <c r="J147" s="19" t="s">
        <v>1803</v>
      </c>
      <c r="K147" s="19" t="s">
        <v>1365</v>
      </c>
      <c r="L147" s="19" t="s">
        <v>1366</v>
      </c>
      <c r="M147" s="19" t="s">
        <v>1054</v>
      </c>
      <c r="N147" s="19"/>
      <c r="O147" s="19" t="s">
        <v>1321</v>
      </c>
    </row>
    <row r="148" customFormat="false" ht="22.35" hidden="false" customHeight="false" outlineLevel="0" collapsed="false">
      <c r="A148" s="19" t="s">
        <v>1831</v>
      </c>
      <c r="B148" s="19" t="s">
        <v>1054</v>
      </c>
      <c r="C148" s="19" t="str">
        <f aca="false">IFERROR(INDEX('Agent Roster'!$B:$B,MATCH(B148,'Agent Roster'!$A:$A,0)),"UNASSIGNED")</f>
        <v>Software Development Agent</v>
      </c>
      <c r="D148" s="19" t="str">
        <f aca="false">IFERROR(INDEX('Agent Roster'!$D:$D,MATCH(B148,'Agent Roster'!$A:$A,0)),"UNASSIGNED")</f>
        <v>7 · Technology Hub</v>
      </c>
      <c r="E148" s="19" t="s">
        <v>1800</v>
      </c>
      <c r="F148" s="19" t="s">
        <v>1832</v>
      </c>
      <c r="G148" s="19" t="s">
        <v>1315</v>
      </c>
      <c r="H148" s="19" t="s">
        <v>1057</v>
      </c>
      <c r="I148" s="19" t="s">
        <v>1833</v>
      </c>
      <c r="J148" s="19" t="s">
        <v>1803</v>
      </c>
      <c r="K148" s="19" t="s">
        <v>1370</v>
      </c>
      <c r="L148" s="19" t="s">
        <v>1376</v>
      </c>
      <c r="M148" s="19" t="s">
        <v>1377</v>
      </c>
      <c r="N148" s="19"/>
      <c r="O148" s="19" t="s">
        <v>1321</v>
      </c>
    </row>
    <row r="149" customFormat="false" ht="22.35" hidden="false" customHeight="false" outlineLevel="0" collapsed="false">
      <c r="A149" s="19" t="s">
        <v>1834</v>
      </c>
      <c r="B149" s="19" t="s">
        <v>510</v>
      </c>
      <c r="C149" s="19" t="str">
        <f aca="false">IFERROR(INDEX('Agent Roster'!$B:$B,MATCH(B149,'Agent Roster'!$A:$A,0)),"UNASSIGNED")</f>
        <v>Lead Capture, Tagging &amp; Channel ROI Agent</v>
      </c>
      <c r="D149" s="19" t="str">
        <f aca="false">IFERROR(INDEX('Agent Roster'!$D:$D,MATCH(B149,'Agent Roster'!$A:$A,0)),"UNASSIGNED")</f>
        <v>2 · Marketing Hub</v>
      </c>
      <c r="E149" s="19" t="s">
        <v>1835</v>
      </c>
      <c r="F149" s="19" t="s">
        <v>1836</v>
      </c>
      <c r="G149" s="19" t="s">
        <v>1315</v>
      </c>
      <c r="H149" s="19" t="s">
        <v>1837</v>
      </c>
      <c r="I149" s="19" t="s">
        <v>1838</v>
      </c>
      <c r="J149" s="19" t="s">
        <v>1839</v>
      </c>
      <c r="K149" s="19" t="s">
        <v>1319</v>
      </c>
      <c r="L149" s="19" t="s">
        <v>1320</v>
      </c>
      <c r="M149" s="19" t="s">
        <v>510</v>
      </c>
      <c r="N149" s="19"/>
      <c r="O149" s="19" t="s">
        <v>1321</v>
      </c>
    </row>
    <row r="150" customFormat="false" ht="15" hidden="false" customHeight="false" outlineLevel="0" collapsed="false">
      <c r="A150" s="19" t="s">
        <v>1840</v>
      </c>
      <c r="B150" s="19" t="s">
        <v>565</v>
      </c>
      <c r="C150" s="19" t="str">
        <f aca="false">IFERROR(INDEX('Agent Roster'!$B:$B,MATCH(B150,'Agent Roster'!$A:$A,0)),"UNASSIGNED")</f>
        <v>Instant Response Agent</v>
      </c>
      <c r="D150" s="19" t="str">
        <f aca="false">IFERROR(INDEX('Agent Roster'!$D:$D,MATCH(B150,'Agent Roster'!$A:$A,0)),"UNASSIGNED")</f>
        <v>3 · Sales Hub</v>
      </c>
      <c r="E150" s="19" t="s">
        <v>1835</v>
      </c>
      <c r="F150" s="19" t="s">
        <v>1841</v>
      </c>
      <c r="G150" s="19" t="s">
        <v>1315</v>
      </c>
      <c r="H150" s="19" t="s">
        <v>1837</v>
      </c>
      <c r="I150" s="19" t="s">
        <v>1842</v>
      </c>
      <c r="J150" s="19" t="s">
        <v>1839</v>
      </c>
      <c r="K150" s="19" t="s">
        <v>1325</v>
      </c>
      <c r="L150" s="19" t="s">
        <v>1326</v>
      </c>
      <c r="M150" s="19" t="s">
        <v>565</v>
      </c>
      <c r="N150" s="19"/>
      <c r="O150" s="19" t="s">
        <v>1321</v>
      </c>
    </row>
    <row r="151" customFormat="false" ht="15" hidden="false" customHeight="false" outlineLevel="0" collapsed="false">
      <c r="A151" s="19" t="s">
        <v>1843</v>
      </c>
      <c r="B151" s="19" t="s">
        <v>603</v>
      </c>
      <c r="C151" s="19" t="str">
        <f aca="false">IFERROR(INDEX('Agent Roster'!$B:$B,MATCH(B151,'Agent Roster'!$A:$A,0)),"UNASSIGNED")</f>
        <v>Sales Call Copilot (7-Step Script)</v>
      </c>
      <c r="D151" s="19" t="str">
        <f aca="false">IFERROR(INDEX('Agent Roster'!$D:$D,MATCH(B151,'Agent Roster'!$A:$A,0)),"UNASSIGNED")</f>
        <v>3 · Sales Hub</v>
      </c>
      <c r="E151" s="19" t="s">
        <v>1835</v>
      </c>
      <c r="F151" s="19" t="s">
        <v>1844</v>
      </c>
      <c r="G151" s="19" t="s">
        <v>1315</v>
      </c>
      <c r="H151" s="19" t="s">
        <v>1837</v>
      </c>
      <c r="I151" s="19" t="s">
        <v>1845</v>
      </c>
      <c r="J151" s="19" t="s">
        <v>1839</v>
      </c>
      <c r="K151" s="19" t="s">
        <v>1330</v>
      </c>
      <c r="L151" s="19" t="s">
        <v>1331</v>
      </c>
      <c r="M151" s="19" t="s">
        <v>603</v>
      </c>
      <c r="N151" s="19"/>
      <c r="O151" s="19" t="s">
        <v>1321</v>
      </c>
    </row>
    <row r="152" customFormat="false" ht="15" hidden="false" customHeight="false" outlineLevel="0" collapsed="false">
      <c r="A152" s="19" t="s">
        <v>1846</v>
      </c>
      <c r="B152" s="19" t="s">
        <v>603</v>
      </c>
      <c r="C152" s="19" t="str">
        <f aca="false">IFERROR(INDEX('Agent Roster'!$B:$B,MATCH(B152,'Agent Roster'!$A:$A,0)),"UNASSIGNED")</f>
        <v>Sales Call Copilot (7-Step Script)</v>
      </c>
      <c r="D152" s="19" t="str">
        <f aca="false">IFERROR(INDEX('Agent Roster'!$D:$D,MATCH(B152,'Agent Roster'!$A:$A,0)),"UNASSIGNED")</f>
        <v>3 · Sales Hub</v>
      </c>
      <c r="E152" s="19" t="s">
        <v>1835</v>
      </c>
      <c r="F152" s="19" t="s">
        <v>1847</v>
      </c>
      <c r="G152" s="19" t="s">
        <v>1315</v>
      </c>
      <c r="H152" s="19" t="s">
        <v>1837</v>
      </c>
      <c r="I152" s="19" t="s">
        <v>1848</v>
      </c>
      <c r="J152" s="19" t="s">
        <v>1839</v>
      </c>
      <c r="K152" s="19" t="s">
        <v>1335</v>
      </c>
      <c r="L152" s="19" t="s">
        <v>1336</v>
      </c>
      <c r="M152" s="19" t="s">
        <v>603</v>
      </c>
      <c r="N152" s="19"/>
      <c r="O152" s="19" t="s">
        <v>1321</v>
      </c>
    </row>
    <row r="153" customFormat="false" ht="15" hidden="false" customHeight="false" outlineLevel="0" collapsed="false">
      <c r="A153" s="19" t="s">
        <v>1849</v>
      </c>
      <c r="B153" s="19" t="s">
        <v>603</v>
      </c>
      <c r="C153" s="19" t="str">
        <f aca="false">IFERROR(INDEX('Agent Roster'!$B:$B,MATCH(B153,'Agent Roster'!$A:$A,0)),"UNASSIGNED")</f>
        <v>Sales Call Copilot (7-Step Script)</v>
      </c>
      <c r="D153" s="19" t="str">
        <f aca="false">IFERROR(INDEX('Agent Roster'!$D:$D,MATCH(B153,'Agent Roster'!$A:$A,0)),"UNASSIGNED")</f>
        <v>3 · Sales Hub</v>
      </c>
      <c r="E153" s="19" t="s">
        <v>1835</v>
      </c>
      <c r="F153" s="19" t="s">
        <v>1850</v>
      </c>
      <c r="G153" s="19" t="s">
        <v>1315</v>
      </c>
      <c r="H153" s="19" t="s">
        <v>1837</v>
      </c>
      <c r="I153" s="19" t="s">
        <v>1851</v>
      </c>
      <c r="J153" s="19" t="s">
        <v>1839</v>
      </c>
      <c r="K153" s="19" t="s">
        <v>1340</v>
      </c>
      <c r="L153" s="19" t="s">
        <v>1341</v>
      </c>
      <c r="M153" s="19" t="s">
        <v>603</v>
      </c>
      <c r="N153" s="19"/>
      <c r="O153" s="19" t="s">
        <v>1321</v>
      </c>
    </row>
    <row r="154" customFormat="false" ht="15" hidden="false" customHeight="false" outlineLevel="0" collapsed="false">
      <c r="A154" s="19" t="s">
        <v>1852</v>
      </c>
      <c r="B154" s="19" t="s">
        <v>603</v>
      </c>
      <c r="C154" s="19" t="str">
        <f aca="false">IFERROR(INDEX('Agent Roster'!$B:$B,MATCH(B154,'Agent Roster'!$A:$A,0)),"UNASSIGNED")</f>
        <v>Sales Call Copilot (7-Step Script)</v>
      </c>
      <c r="D154" s="19" t="str">
        <f aca="false">IFERROR(INDEX('Agent Roster'!$D:$D,MATCH(B154,'Agent Roster'!$A:$A,0)),"UNASSIGNED")</f>
        <v>3 · Sales Hub</v>
      </c>
      <c r="E154" s="19" t="s">
        <v>1835</v>
      </c>
      <c r="F154" s="19" t="s">
        <v>1853</v>
      </c>
      <c r="G154" s="19" t="s">
        <v>1315</v>
      </c>
      <c r="H154" s="19" t="s">
        <v>1837</v>
      </c>
      <c r="I154" s="19" t="s">
        <v>1854</v>
      </c>
      <c r="J154" s="19" t="s">
        <v>1839</v>
      </c>
      <c r="K154" s="19" t="s">
        <v>1345</v>
      </c>
      <c r="L154" s="19" t="s">
        <v>1346</v>
      </c>
      <c r="M154" s="19" t="s">
        <v>603</v>
      </c>
      <c r="N154" s="19"/>
      <c r="O154" s="19" t="s">
        <v>1321</v>
      </c>
    </row>
    <row r="155" customFormat="false" ht="15" hidden="false" customHeight="false" outlineLevel="0" collapsed="false">
      <c r="A155" s="19" t="s">
        <v>1855</v>
      </c>
      <c r="B155" s="19" t="s">
        <v>603</v>
      </c>
      <c r="C155" s="19" t="str">
        <f aca="false">IFERROR(INDEX('Agent Roster'!$B:$B,MATCH(B155,'Agent Roster'!$A:$A,0)),"UNASSIGNED")</f>
        <v>Sales Call Copilot (7-Step Script)</v>
      </c>
      <c r="D155" s="19" t="str">
        <f aca="false">IFERROR(INDEX('Agent Roster'!$D:$D,MATCH(B155,'Agent Roster'!$A:$A,0)),"UNASSIGNED")</f>
        <v>3 · Sales Hub</v>
      </c>
      <c r="E155" s="19" t="s">
        <v>1835</v>
      </c>
      <c r="F155" s="19" t="s">
        <v>1856</v>
      </c>
      <c r="G155" s="19" t="s">
        <v>1315</v>
      </c>
      <c r="H155" s="19" t="s">
        <v>1837</v>
      </c>
      <c r="I155" s="19" t="s">
        <v>1857</v>
      </c>
      <c r="J155" s="19" t="s">
        <v>1839</v>
      </c>
      <c r="K155" s="19" t="s">
        <v>1350</v>
      </c>
      <c r="L155" s="19" t="s">
        <v>1351</v>
      </c>
      <c r="M155" s="19" t="s">
        <v>603</v>
      </c>
      <c r="N155" s="19"/>
      <c r="O155" s="19" t="s">
        <v>1321</v>
      </c>
    </row>
    <row r="156" customFormat="false" ht="15" hidden="false" customHeight="false" outlineLevel="0" collapsed="false">
      <c r="A156" s="19" t="s">
        <v>1858</v>
      </c>
      <c r="B156" s="19" t="s">
        <v>630</v>
      </c>
      <c r="C156" s="19" t="str">
        <f aca="false">IFERROR(INDEX('Agent Roster'!$B:$B,MATCH(B156,'Agent Roster'!$A:$A,0)),"UNASSIGNED")</f>
        <v>Offer Architect</v>
      </c>
      <c r="D156" s="19" t="str">
        <f aca="false">IFERROR(INDEX('Agent Roster'!$D:$D,MATCH(B156,'Agent Roster'!$A:$A,0)),"UNASSIGNED")</f>
        <v>3 · Sales Hub</v>
      </c>
      <c r="E156" s="19" t="s">
        <v>1835</v>
      </c>
      <c r="F156" s="19" t="s">
        <v>1859</v>
      </c>
      <c r="G156" s="19" t="s">
        <v>1315</v>
      </c>
      <c r="H156" s="19" t="s">
        <v>1837</v>
      </c>
      <c r="I156" s="19" t="s">
        <v>1860</v>
      </c>
      <c r="J156" s="19" t="s">
        <v>1839</v>
      </c>
      <c r="K156" s="19" t="s">
        <v>1355</v>
      </c>
      <c r="L156" s="19" t="s">
        <v>1356</v>
      </c>
      <c r="M156" s="19" t="s">
        <v>630</v>
      </c>
      <c r="N156" s="19"/>
      <c r="O156" s="19" t="s">
        <v>1321</v>
      </c>
    </row>
    <row r="157" customFormat="false" ht="15" hidden="false" customHeight="false" outlineLevel="0" collapsed="false">
      <c r="A157" s="19" t="s">
        <v>1861</v>
      </c>
      <c r="B157" s="19" t="s">
        <v>618</v>
      </c>
      <c r="C157" s="19" t="str">
        <f aca="false">IFERROR(INDEX('Agent Roster'!$B:$B,MATCH(B157,'Agent Roster'!$A:$A,0)),"UNASSIGNED")</f>
        <v>Objection Handling Coach (I.A.C.E.)</v>
      </c>
      <c r="D157" s="19" t="str">
        <f aca="false">IFERROR(INDEX('Agent Roster'!$D:$D,MATCH(B157,'Agent Roster'!$A:$A,0)),"UNASSIGNED")</f>
        <v>3 · Sales Hub</v>
      </c>
      <c r="E157" s="19" t="s">
        <v>1835</v>
      </c>
      <c r="F157" s="19" t="s">
        <v>1862</v>
      </c>
      <c r="G157" s="19" t="s">
        <v>1315</v>
      </c>
      <c r="H157" s="19" t="s">
        <v>1837</v>
      </c>
      <c r="I157" s="19" t="s">
        <v>1863</v>
      </c>
      <c r="J157" s="19" t="s">
        <v>1839</v>
      </c>
      <c r="K157" s="19" t="s">
        <v>1360</v>
      </c>
      <c r="L157" s="19" t="s">
        <v>1361</v>
      </c>
      <c r="M157" s="19" t="s">
        <v>618</v>
      </c>
      <c r="N157" s="19"/>
      <c r="O157" s="19" t="s">
        <v>1321</v>
      </c>
    </row>
    <row r="158" customFormat="false" ht="15" hidden="false" customHeight="false" outlineLevel="0" collapsed="false">
      <c r="A158" s="19" t="s">
        <v>1864</v>
      </c>
      <c r="B158" s="19" t="s">
        <v>642</v>
      </c>
      <c r="C158" s="19" t="str">
        <f aca="false">IFERROR(INDEX('Agent Roster'!$B:$B,MATCH(B158,'Agent Roster'!$A:$A,0)),"UNASSIGNED")</f>
        <v>Proposal &amp; Contract Generator</v>
      </c>
      <c r="D158" s="19" t="str">
        <f aca="false">IFERROR(INDEX('Agent Roster'!$D:$D,MATCH(B158,'Agent Roster'!$A:$A,0)),"UNASSIGNED")</f>
        <v>3 · Sales Hub</v>
      </c>
      <c r="E158" s="19" t="s">
        <v>1835</v>
      </c>
      <c r="F158" s="19" t="s">
        <v>1865</v>
      </c>
      <c r="G158" s="19" t="s">
        <v>1315</v>
      </c>
      <c r="H158" s="19" t="s">
        <v>1837</v>
      </c>
      <c r="I158" s="19" t="s">
        <v>1866</v>
      </c>
      <c r="J158" s="19" t="s">
        <v>1839</v>
      </c>
      <c r="K158" s="19" t="s">
        <v>1365</v>
      </c>
      <c r="L158" s="19" t="s">
        <v>1366</v>
      </c>
      <c r="M158" s="19" t="s">
        <v>642</v>
      </c>
      <c r="N158" s="19"/>
      <c r="O158" s="19" t="s">
        <v>1321</v>
      </c>
    </row>
    <row r="159" customFormat="false" ht="15" hidden="false" customHeight="false" outlineLevel="0" collapsed="false">
      <c r="A159" s="19" t="s">
        <v>1867</v>
      </c>
      <c r="B159" s="19" t="s">
        <v>675</v>
      </c>
      <c r="C159" s="19" t="str">
        <f aca="false">IFERROR(INDEX('Agent Roster'!$B:$B,MATCH(B159,'Agent Roster'!$A:$A,0)),"UNASSIGNED")</f>
        <v>Sales-to-Onboarding Handoff Agent</v>
      </c>
      <c r="D159" s="19" t="str">
        <f aca="false">IFERROR(INDEX('Agent Roster'!$D:$D,MATCH(B159,'Agent Roster'!$A:$A,0)),"UNASSIGNED")</f>
        <v>3 · Sales Hub</v>
      </c>
      <c r="E159" s="19" t="s">
        <v>1835</v>
      </c>
      <c r="F159" s="19" t="s">
        <v>1868</v>
      </c>
      <c r="G159" s="19" t="s">
        <v>1315</v>
      </c>
      <c r="H159" s="19" t="s">
        <v>1837</v>
      </c>
      <c r="I159" s="19" t="s">
        <v>685</v>
      </c>
      <c r="J159" s="19" t="s">
        <v>1839</v>
      </c>
      <c r="K159" s="19" t="s">
        <v>1370</v>
      </c>
      <c r="L159" s="19" t="s">
        <v>1371</v>
      </c>
      <c r="M159" s="19" t="s">
        <v>675</v>
      </c>
      <c r="N159" s="19"/>
      <c r="O159" s="19" t="s">
        <v>1321</v>
      </c>
    </row>
    <row r="160" customFormat="false" ht="22.35" hidden="false" customHeight="false" outlineLevel="0" collapsed="false">
      <c r="A160" s="19" t="s">
        <v>1869</v>
      </c>
      <c r="B160" s="19" t="s">
        <v>1169</v>
      </c>
      <c r="C160" s="19" t="str">
        <f aca="false">IFERROR(INDEX('Agent Roster'!$B:$B,MATCH(B160,'Agent Roster'!$A:$A,0)),"UNASSIGNED")</f>
        <v>Expansion &amp; Referral Agent</v>
      </c>
      <c r="D160" s="19" t="str">
        <f aca="false">IFERROR(INDEX('Agent Roster'!$D:$D,MATCH(B160,'Agent Roster'!$A:$A,0)),"UNASSIGNED")</f>
        <v>8 · Client Success Hub</v>
      </c>
      <c r="E160" s="19" t="s">
        <v>1835</v>
      </c>
      <c r="F160" s="19" t="s">
        <v>1870</v>
      </c>
      <c r="G160" s="19" t="s">
        <v>1315</v>
      </c>
      <c r="H160" s="19" t="s">
        <v>1837</v>
      </c>
      <c r="I160" s="19" t="s">
        <v>1871</v>
      </c>
      <c r="J160" s="19" t="s">
        <v>1839</v>
      </c>
      <c r="K160" s="19" t="s">
        <v>1375</v>
      </c>
      <c r="L160" s="19" t="s">
        <v>1376</v>
      </c>
      <c r="M160" s="19" t="s">
        <v>1377</v>
      </c>
      <c r="N160" s="19"/>
      <c r="O160" s="19" t="s">
        <v>1321</v>
      </c>
    </row>
    <row r="161" customFormat="false" ht="15" hidden="false" customHeight="false" outlineLevel="0" collapsed="false">
      <c r="A161" s="19" t="s">
        <v>1872</v>
      </c>
      <c r="B161" s="19" t="s">
        <v>859</v>
      </c>
      <c r="C161" s="19" t="str">
        <f aca="false">IFERROR(INDEX('Agent Roster'!$B:$B,MATCH(B161,'Agent Roster'!$A:$A,0)),"UNASSIGNED")</f>
        <v>Recruiting Agent</v>
      </c>
      <c r="D161" s="19" t="str">
        <f aca="false">IFERROR(INDEX('Agent Roster'!$D:$D,MATCH(B161,'Agent Roster'!$A:$A,0)),"UNASSIGNED")</f>
        <v>6 · HR &amp; Culture Hub</v>
      </c>
      <c r="E161" s="19" t="s">
        <v>1873</v>
      </c>
      <c r="F161" s="19" t="s">
        <v>1874</v>
      </c>
      <c r="G161" s="19" t="s">
        <v>1315</v>
      </c>
      <c r="H161" s="19" t="s">
        <v>1875</v>
      </c>
      <c r="I161" s="19" t="s">
        <v>1876</v>
      </c>
      <c r="J161" s="19" t="s">
        <v>1877</v>
      </c>
      <c r="K161" s="19" t="s">
        <v>1319</v>
      </c>
      <c r="L161" s="19" t="s">
        <v>1320</v>
      </c>
      <c r="M161" s="19" t="s">
        <v>859</v>
      </c>
      <c r="N161" s="19"/>
      <c r="O161" s="19" t="s">
        <v>1321</v>
      </c>
    </row>
    <row r="162" customFormat="false" ht="22.35" hidden="false" customHeight="false" outlineLevel="0" collapsed="false">
      <c r="A162" s="19" t="s">
        <v>1878</v>
      </c>
      <c r="B162" s="19" t="s">
        <v>859</v>
      </c>
      <c r="C162" s="19" t="str">
        <f aca="false">IFERROR(INDEX('Agent Roster'!$B:$B,MATCH(B162,'Agent Roster'!$A:$A,0)),"UNASSIGNED")</f>
        <v>Recruiting Agent</v>
      </c>
      <c r="D162" s="19" t="str">
        <f aca="false">IFERROR(INDEX('Agent Roster'!$D:$D,MATCH(B162,'Agent Roster'!$A:$A,0)),"UNASSIGNED")</f>
        <v>6 · HR &amp; Culture Hub</v>
      </c>
      <c r="E162" s="19" t="s">
        <v>1873</v>
      </c>
      <c r="F162" s="19" t="s">
        <v>1879</v>
      </c>
      <c r="G162" s="19" t="s">
        <v>1315</v>
      </c>
      <c r="H162" s="19" t="s">
        <v>1875</v>
      </c>
      <c r="I162" s="19" t="s">
        <v>1880</v>
      </c>
      <c r="J162" s="19" t="s">
        <v>1877</v>
      </c>
      <c r="K162" s="19" t="s">
        <v>1325</v>
      </c>
      <c r="L162" s="19" t="s">
        <v>1326</v>
      </c>
      <c r="M162" s="19" t="s">
        <v>859</v>
      </c>
      <c r="N162" s="19"/>
      <c r="O162" s="19" t="s">
        <v>1321</v>
      </c>
    </row>
    <row r="163" customFormat="false" ht="15" hidden="false" customHeight="false" outlineLevel="0" collapsed="false">
      <c r="A163" s="19" t="s">
        <v>1881</v>
      </c>
      <c r="B163" s="19" t="s">
        <v>859</v>
      </c>
      <c r="C163" s="19" t="str">
        <f aca="false">IFERROR(INDEX('Agent Roster'!$B:$B,MATCH(B163,'Agent Roster'!$A:$A,0)),"UNASSIGNED")</f>
        <v>Recruiting Agent</v>
      </c>
      <c r="D163" s="19" t="str">
        <f aca="false">IFERROR(INDEX('Agent Roster'!$D:$D,MATCH(B163,'Agent Roster'!$A:$A,0)),"UNASSIGNED")</f>
        <v>6 · HR &amp; Culture Hub</v>
      </c>
      <c r="E163" s="19" t="s">
        <v>1873</v>
      </c>
      <c r="F163" s="19" t="s">
        <v>1882</v>
      </c>
      <c r="G163" s="19" t="s">
        <v>1315</v>
      </c>
      <c r="H163" s="19" t="s">
        <v>1875</v>
      </c>
      <c r="I163" s="19" t="s">
        <v>1883</v>
      </c>
      <c r="J163" s="19" t="s">
        <v>1877</v>
      </c>
      <c r="K163" s="19" t="s">
        <v>1330</v>
      </c>
      <c r="L163" s="19" t="s">
        <v>1331</v>
      </c>
      <c r="M163" s="19" t="s">
        <v>859</v>
      </c>
      <c r="N163" s="19"/>
      <c r="O163" s="19" t="s">
        <v>1321</v>
      </c>
    </row>
    <row r="164" customFormat="false" ht="22.35" hidden="false" customHeight="false" outlineLevel="0" collapsed="false">
      <c r="A164" s="19" t="s">
        <v>1884</v>
      </c>
      <c r="B164" s="19" t="s">
        <v>859</v>
      </c>
      <c r="C164" s="19" t="str">
        <f aca="false">IFERROR(INDEX('Agent Roster'!$B:$B,MATCH(B164,'Agent Roster'!$A:$A,0)),"UNASSIGNED")</f>
        <v>Recruiting Agent</v>
      </c>
      <c r="D164" s="19" t="str">
        <f aca="false">IFERROR(INDEX('Agent Roster'!$D:$D,MATCH(B164,'Agent Roster'!$A:$A,0)),"UNASSIGNED")</f>
        <v>6 · HR &amp; Culture Hub</v>
      </c>
      <c r="E164" s="19" t="s">
        <v>1873</v>
      </c>
      <c r="F164" s="19" t="s">
        <v>1885</v>
      </c>
      <c r="G164" s="19" t="s">
        <v>1315</v>
      </c>
      <c r="H164" s="19" t="s">
        <v>1875</v>
      </c>
      <c r="I164" s="19" t="s">
        <v>1886</v>
      </c>
      <c r="J164" s="19" t="s">
        <v>1877</v>
      </c>
      <c r="K164" s="19" t="s">
        <v>1335</v>
      </c>
      <c r="L164" s="19" t="s">
        <v>1336</v>
      </c>
      <c r="M164" s="19" t="s">
        <v>859</v>
      </c>
      <c r="N164" s="19"/>
      <c r="O164" s="19" t="s">
        <v>1321</v>
      </c>
    </row>
    <row r="165" customFormat="false" ht="22.35" hidden="false" customHeight="false" outlineLevel="0" collapsed="false">
      <c r="A165" s="19" t="s">
        <v>1887</v>
      </c>
      <c r="B165" s="19" t="s">
        <v>859</v>
      </c>
      <c r="C165" s="19" t="str">
        <f aca="false">IFERROR(INDEX('Agent Roster'!$B:$B,MATCH(B165,'Agent Roster'!$A:$A,0)),"UNASSIGNED")</f>
        <v>Recruiting Agent</v>
      </c>
      <c r="D165" s="19" t="str">
        <f aca="false">IFERROR(INDEX('Agent Roster'!$D:$D,MATCH(B165,'Agent Roster'!$A:$A,0)),"UNASSIGNED")</f>
        <v>6 · HR &amp; Culture Hub</v>
      </c>
      <c r="E165" s="19" t="s">
        <v>1873</v>
      </c>
      <c r="F165" s="19" t="s">
        <v>1888</v>
      </c>
      <c r="G165" s="19" t="s">
        <v>1315</v>
      </c>
      <c r="H165" s="19" t="s">
        <v>1875</v>
      </c>
      <c r="I165" s="19" t="s">
        <v>1889</v>
      </c>
      <c r="J165" s="19" t="s">
        <v>1877</v>
      </c>
      <c r="K165" s="19" t="s">
        <v>1340</v>
      </c>
      <c r="L165" s="19" t="s">
        <v>1341</v>
      </c>
      <c r="M165" s="19" t="s">
        <v>859</v>
      </c>
      <c r="N165" s="19"/>
      <c r="O165" s="19" t="s">
        <v>1321</v>
      </c>
    </row>
    <row r="166" customFormat="false" ht="22.35" hidden="false" customHeight="false" outlineLevel="0" collapsed="false">
      <c r="A166" s="19" t="s">
        <v>1890</v>
      </c>
      <c r="B166" s="19" t="s">
        <v>859</v>
      </c>
      <c r="C166" s="19" t="str">
        <f aca="false">IFERROR(INDEX('Agent Roster'!$B:$B,MATCH(B166,'Agent Roster'!$A:$A,0)),"UNASSIGNED")</f>
        <v>Recruiting Agent</v>
      </c>
      <c r="D166" s="19" t="str">
        <f aca="false">IFERROR(INDEX('Agent Roster'!$D:$D,MATCH(B166,'Agent Roster'!$A:$A,0)),"UNASSIGNED")</f>
        <v>6 · HR &amp; Culture Hub</v>
      </c>
      <c r="E166" s="19" t="s">
        <v>1873</v>
      </c>
      <c r="F166" s="19" t="s">
        <v>1891</v>
      </c>
      <c r="G166" s="19" t="s">
        <v>1315</v>
      </c>
      <c r="H166" s="19" t="s">
        <v>1875</v>
      </c>
      <c r="I166" s="19" t="s">
        <v>1892</v>
      </c>
      <c r="J166" s="19" t="s">
        <v>1877</v>
      </c>
      <c r="K166" s="19" t="s">
        <v>1345</v>
      </c>
      <c r="L166" s="19" t="s">
        <v>1346</v>
      </c>
      <c r="M166" s="19" t="s">
        <v>859</v>
      </c>
      <c r="N166" s="19"/>
      <c r="O166" s="19" t="s">
        <v>1321</v>
      </c>
    </row>
    <row r="167" customFormat="false" ht="22.35" hidden="false" customHeight="false" outlineLevel="0" collapsed="false">
      <c r="A167" s="19" t="s">
        <v>1893</v>
      </c>
      <c r="B167" s="19" t="s">
        <v>859</v>
      </c>
      <c r="C167" s="19" t="str">
        <f aca="false">IFERROR(INDEX('Agent Roster'!$B:$B,MATCH(B167,'Agent Roster'!$A:$A,0)),"UNASSIGNED")</f>
        <v>Recruiting Agent</v>
      </c>
      <c r="D167" s="19" t="str">
        <f aca="false">IFERROR(INDEX('Agent Roster'!$D:$D,MATCH(B167,'Agent Roster'!$A:$A,0)),"UNASSIGNED")</f>
        <v>6 · HR &amp; Culture Hub</v>
      </c>
      <c r="E167" s="19" t="s">
        <v>1873</v>
      </c>
      <c r="F167" s="19" t="s">
        <v>1894</v>
      </c>
      <c r="G167" s="19" t="s">
        <v>1315</v>
      </c>
      <c r="H167" s="19" t="s">
        <v>1875</v>
      </c>
      <c r="I167" s="19" t="s">
        <v>1895</v>
      </c>
      <c r="J167" s="19" t="s">
        <v>1877</v>
      </c>
      <c r="K167" s="19" t="s">
        <v>1350</v>
      </c>
      <c r="L167" s="19" t="s">
        <v>1351</v>
      </c>
      <c r="M167" s="19" t="s">
        <v>859</v>
      </c>
      <c r="N167" s="19"/>
      <c r="O167" s="19" t="s">
        <v>1321</v>
      </c>
    </row>
    <row r="168" customFormat="false" ht="22.35" hidden="false" customHeight="false" outlineLevel="0" collapsed="false">
      <c r="A168" s="19" t="s">
        <v>1896</v>
      </c>
      <c r="B168" s="19" t="s">
        <v>871</v>
      </c>
      <c r="C168" s="19" t="str">
        <f aca="false">IFERROR(INDEX('Agent Roster'!$B:$B,MATCH(B168,'Agent Roster'!$A:$A,0)),"UNASSIGNED")</f>
        <v>Offer &amp; Compensation Agent</v>
      </c>
      <c r="D168" s="19" t="str">
        <f aca="false">IFERROR(INDEX('Agent Roster'!$D:$D,MATCH(B168,'Agent Roster'!$A:$A,0)),"UNASSIGNED")</f>
        <v>6 · HR &amp; Culture Hub</v>
      </c>
      <c r="E168" s="19" t="s">
        <v>1873</v>
      </c>
      <c r="F168" s="19" t="s">
        <v>1897</v>
      </c>
      <c r="G168" s="19" t="s">
        <v>1315</v>
      </c>
      <c r="H168" s="19" t="s">
        <v>1875</v>
      </c>
      <c r="I168" s="19" t="s">
        <v>882</v>
      </c>
      <c r="J168" s="19" t="s">
        <v>1877</v>
      </c>
      <c r="K168" s="19" t="s">
        <v>1355</v>
      </c>
      <c r="L168" s="19" t="s">
        <v>1356</v>
      </c>
      <c r="M168" s="19" t="s">
        <v>871</v>
      </c>
      <c r="N168" s="19"/>
      <c r="O168" s="19" t="s">
        <v>1321</v>
      </c>
    </row>
    <row r="169" customFormat="false" ht="22.35" hidden="false" customHeight="false" outlineLevel="0" collapsed="false">
      <c r="A169" s="19" t="s">
        <v>1898</v>
      </c>
      <c r="B169" s="19" t="s">
        <v>883</v>
      </c>
      <c r="C169" s="19" t="str">
        <f aca="false">IFERROR(INDEX('Agent Roster'!$B:$B,MATCH(B169,'Agent Roster'!$A:$A,0)),"UNASSIGNED")</f>
        <v>Employee Onboarding Agent (Immersion for hires)</v>
      </c>
      <c r="D169" s="19" t="str">
        <f aca="false">IFERROR(INDEX('Agent Roster'!$D:$D,MATCH(B169,'Agent Roster'!$A:$A,0)),"UNASSIGNED")</f>
        <v>6 · HR &amp; Culture Hub</v>
      </c>
      <c r="E169" s="19" t="s">
        <v>1873</v>
      </c>
      <c r="F169" s="19" t="s">
        <v>1899</v>
      </c>
      <c r="G169" s="19" t="s">
        <v>1315</v>
      </c>
      <c r="H169" s="19" t="s">
        <v>1875</v>
      </c>
      <c r="I169" s="19" t="s">
        <v>1900</v>
      </c>
      <c r="J169" s="19" t="s">
        <v>1877</v>
      </c>
      <c r="K169" s="19" t="s">
        <v>1360</v>
      </c>
      <c r="L169" s="19" t="s">
        <v>1361</v>
      </c>
      <c r="M169" s="19" t="s">
        <v>883</v>
      </c>
      <c r="N169" s="19"/>
      <c r="O169" s="19" t="s">
        <v>1321</v>
      </c>
    </row>
    <row r="170" customFormat="false" ht="22.35" hidden="false" customHeight="false" outlineLevel="0" collapsed="false">
      <c r="A170" s="19" t="s">
        <v>1901</v>
      </c>
      <c r="B170" s="19" t="s">
        <v>894</v>
      </c>
      <c r="C170" s="19" t="str">
        <f aca="false">IFERROR(INDEX('Agent Roster'!$B:$B,MATCH(B170,'Agent Roster'!$A:$A,0)),"UNASSIGNED")</f>
        <v>Performance Review Agent</v>
      </c>
      <c r="D170" s="19" t="str">
        <f aca="false">IFERROR(INDEX('Agent Roster'!$D:$D,MATCH(B170,'Agent Roster'!$A:$A,0)),"UNASSIGNED")</f>
        <v>6 · HR &amp; Culture Hub</v>
      </c>
      <c r="E170" s="19" t="s">
        <v>1873</v>
      </c>
      <c r="F170" s="19" t="s">
        <v>1902</v>
      </c>
      <c r="G170" s="19" t="s">
        <v>1315</v>
      </c>
      <c r="H170" s="19" t="s">
        <v>1875</v>
      </c>
      <c r="I170" s="19" t="s">
        <v>905</v>
      </c>
      <c r="J170" s="19" t="s">
        <v>1877</v>
      </c>
      <c r="K170" s="19" t="s">
        <v>1365</v>
      </c>
      <c r="L170" s="19" t="s">
        <v>1376</v>
      </c>
      <c r="M170" s="19" t="s">
        <v>1377</v>
      </c>
      <c r="N170" s="19"/>
      <c r="O170" s="19" t="s">
        <v>1321</v>
      </c>
    </row>
    <row r="171" customFormat="false" ht="15" hidden="false" customHeight="false" outlineLevel="0" collapsed="false">
      <c r="A171" s="19" t="s">
        <v>1903</v>
      </c>
      <c r="B171" s="19" t="s">
        <v>1082</v>
      </c>
      <c r="C171" s="19" t="str">
        <f aca="false">IFERROR(INDEX('Agent Roster'!$B:$B,MATCH(B171,'Agent Roster'!$A:$A,0)),"UNASSIGNED")</f>
        <v>Pre-Immersion Prep Agent</v>
      </c>
      <c r="D171" s="19" t="str">
        <f aca="false">IFERROR(INDEX('Agent Roster'!$D:$D,MATCH(B171,'Agent Roster'!$A:$A,0)),"UNASSIGNED")</f>
        <v>8 · Client Success Hub</v>
      </c>
      <c r="E171" s="19" t="s">
        <v>1904</v>
      </c>
      <c r="F171" s="19" t="s">
        <v>1905</v>
      </c>
      <c r="G171" s="19" t="s">
        <v>1315</v>
      </c>
      <c r="H171" s="19" t="s">
        <v>1906</v>
      </c>
      <c r="I171" s="19" t="s">
        <v>1907</v>
      </c>
      <c r="J171" s="19" t="s">
        <v>1908</v>
      </c>
      <c r="K171" s="19" t="s">
        <v>1319</v>
      </c>
      <c r="L171" s="19" t="s">
        <v>1320</v>
      </c>
      <c r="M171" s="19" t="s">
        <v>1082</v>
      </c>
      <c r="N171" s="19"/>
      <c r="O171" s="19" t="s">
        <v>1321</v>
      </c>
    </row>
    <row r="172" customFormat="false" ht="22.35" hidden="false" customHeight="false" outlineLevel="0" collapsed="false">
      <c r="A172" s="19" t="s">
        <v>1909</v>
      </c>
      <c r="B172" s="19" t="s">
        <v>1088</v>
      </c>
      <c r="C172" s="19" t="str">
        <f aca="false">IFERROR(INDEX('Agent Roster'!$B:$B,MATCH(B172,'Agent Roster'!$A:$A,0)),"UNASSIGNED")</f>
        <v>Immersion Capture Agent</v>
      </c>
      <c r="D172" s="19" t="str">
        <f aca="false">IFERROR(INDEX('Agent Roster'!$D:$D,MATCH(B172,'Agent Roster'!$A:$A,0)),"UNASSIGNED")</f>
        <v>8 · Client Success Hub</v>
      </c>
      <c r="E172" s="19" t="s">
        <v>1904</v>
      </c>
      <c r="F172" s="19" t="s">
        <v>1910</v>
      </c>
      <c r="G172" s="19" t="s">
        <v>1315</v>
      </c>
      <c r="H172" s="19" t="s">
        <v>1906</v>
      </c>
      <c r="I172" s="19" t="s">
        <v>1911</v>
      </c>
      <c r="J172" s="19" t="s">
        <v>1908</v>
      </c>
      <c r="K172" s="19" t="s">
        <v>1325</v>
      </c>
      <c r="L172" s="19" t="s">
        <v>1326</v>
      </c>
      <c r="M172" s="19" t="s">
        <v>1088</v>
      </c>
      <c r="N172" s="19"/>
      <c r="O172" s="19" t="s">
        <v>1321</v>
      </c>
    </row>
    <row r="173" customFormat="false" ht="22.35" hidden="false" customHeight="false" outlineLevel="0" collapsed="false">
      <c r="A173" s="19" t="s">
        <v>1912</v>
      </c>
      <c r="B173" s="19" t="s">
        <v>1088</v>
      </c>
      <c r="C173" s="19" t="str">
        <f aca="false">IFERROR(INDEX('Agent Roster'!$B:$B,MATCH(B173,'Agent Roster'!$A:$A,0)),"UNASSIGNED")</f>
        <v>Immersion Capture Agent</v>
      </c>
      <c r="D173" s="19" t="str">
        <f aca="false">IFERROR(INDEX('Agent Roster'!$D:$D,MATCH(B173,'Agent Roster'!$A:$A,0)),"UNASSIGNED")</f>
        <v>8 · Client Success Hub</v>
      </c>
      <c r="E173" s="19" t="s">
        <v>1904</v>
      </c>
      <c r="F173" s="19" t="s">
        <v>1913</v>
      </c>
      <c r="G173" s="19" t="s">
        <v>1315</v>
      </c>
      <c r="H173" s="19" t="s">
        <v>1906</v>
      </c>
      <c r="I173" s="19" t="s">
        <v>1914</v>
      </c>
      <c r="J173" s="19" t="s">
        <v>1908</v>
      </c>
      <c r="K173" s="19" t="s">
        <v>1330</v>
      </c>
      <c r="L173" s="19" t="s">
        <v>1331</v>
      </c>
      <c r="M173" s="19" t="s">
        <v>1088</v>
      </c>
      <c r="N173" s="19"/>
      <c r="O173" s="19" t="s">
        <v>1321</v>
      </c>
    </row>
    <row r="174" customFormat="false" ht="22.35" hidden="false" customHeight="false" outlineLevel="0" collapsed="false">
      <c r="A174" s="19" t="s">
        <v>1915</v>
      </c>
      <c r="B174" s="19" t="s">
        <v>1097</v>
      </c>
      <c r="C174" s="19" t="str">
        <f aca="false">IFERROR(INDEX('Agent Roster'!$B:$B,MATCH(B174,'Agent Roster'!$A:$A,0)),"UNASSIGNED")</f>
        <v>Blueprint Agent</v>
      </c>
      <c r="D174" s="19" t="str">
        <f aca="false">IFERROR(INDEX('Agent Roster'!$D:$D,MATCH(B174,'Agent Roster'!$A:$A,0)),"UNASSIGNED")</f>
        <v>8 · Client Success Hub</v>
      </c>
      <c r="E174" s="19" t="s">
        <v>1904</v>
      </c>
      <c r="F174" s="19" t="s">
        <v>1916</v>
      </c>
      <c r="G174" s="19" t="s">
        <v>1315</v>
      </c>
      <c r="H174" s="19" t="s">
        <v>1906</v>
      </c>
      <c r="I174" s="19" t="s">
        <v>1917</v>
      </c>
      <c r="J174" s="19" t="s">
        <v>1908</v>
      </c>
      <c r="K174" s="19" t="s">
        <v>1335</v>
      </c>
      <c r="L174" s="19" t="s">
        <v>1336</v>
      </c>
      <c r="M174" s="19" t="s">
        <v>1097</v>
      </c>
      <c r="N174" s="19"/>
      <c r="O174" s="19" t="s">
        <v>1321</v>
      </c>
    </row>
    <row r="175" customFormat="false" ht="22.35" hidden="false" customHeight="false" outlineLevel="0" collapsed="false">
      <c r="A175" s="19" t="s">
        <v>1918</v>
      </c>
      <c r="B175" s="19" t="s">
        <v>1097</v>
      </c>
      <c r="C175" s="19" t="str">
        <f aca="false">IFERROR(INDEX('Agent Roster'!$B:$B,MATCH(B175,'Agent Roster'!$A:$A,0)),"UNASSIGNED")</f>
        <v>Blueprint Agent</v>
      </c>
      <c r="D175" s="19" t="str">
        <f aca="false">IFERROR(INDEX('Agent Roster'!$D:$D,MATCH(B175,'Agent Roster'!$A:$A,0)),"UNASSIGNED")</f>
        <v>8 · Client Success Hub</v>
      </c>
      <c r="E175" s="19" t="s">
        <v>1904</v>
      </c>
      <c r="F175" s="19" t="s">
        <v>1919</v>
      </c>
      <c r="G175" s="19" t="s">
        <v>1315</v>
      </c>
      <c r="H175" s="19" t="s">
        <v>1906</v>
      </c>
      <c r="I175" s="19" t="s">
        <v>1920</v>
      </c>
      <c r="J175" s="19" t="s">
        <v>1908</v>
      </c>
      <c r="K175" s="19" t="s">
        <v>1340</v>
      </c>
      <c r="L175" s="19" t="s">
        <v>1341</v>
      </c>
      <c r="M175" s="19" t="s">
        <v>1097</v>
      </c>
      <c r="N175" s="19"/>
      <c r="O175" s="19" t="s">
        <v>1321</v>
      </c>
    </row>
    <row r="176" customFormat="false" ht="22.35" hidden="false" customHeight="false" outlineLevel="0" collapsed="false">
      <c r="A176" s="19" t="s">
        <v>1921</v>
      </c>
      <c r="B176" s="19" t="s">
        <v>752</v>
      </c>
      <c r="C176" s="19" t="str">
        <f aca="false">IFERROR(INDEX('Agent Roster'!$B:$B,MATCH(B176,'Agent Roster'!$A:$A,0)),"UNASSIGNED")</f>
        <v>Client Build Agent</v>
      </c>
      <c r="D176" s="19" t="str">
        <f aca="false">IFERROR(INDEX('Agent Roster'!$D:$D,MATCH(B176,'Agent Roster'!$A:$A,0)),"UNASSIGNED")</f>
        <v>4 · Operations Hub</v>
      </c>
      <c r="E176" s="19" t="s">
        <v>1904</v>
      </c>
      <c r="F176" s="19" t="s">
        <v>1922</v>
      </c>
      <c r="G176" s="19" t="s">
        <v>1315</v>
      </c>
      <c r="H176" s="19" t="s">
        <v>1906</v>
      </c>
      <c r="I176" s="19" t="s">
        <v>1923</v>
      </c>
      <c r="J176" s="19" t="s">
        <v>1908</v>
      </c>
      <c r="K176" s="19" t="s">
        <v>1345</v>
      </c>
      <c r="L176" s="19" t="s">
        <v>1346</v>
      </c>
      <c r="M176" s="19" t="s">
        <v>752</v>
      </c>
      <c r="N176" s="19"/>
      <c r="O176" s="19" t="s">
        <v>1321</v>
      </c>
    </row>
    <row r="177" customFormat="false" ht="22.35" hidden="false" customHeight="false" outlineLevel="0" collapsed="false">
      <c r="A177" s="19" t="s">
        <v>1924</v>
      </c>
      <c r="B177" s="19" t="s">
        <v>1112</v>
      </c>
      <c r="C177" s="19" t="str">
        <f aca="false">IFERROR(INDEX('Agent Roster'!$B:$B,MATCH(B177,'Agent Roster'!$A:$A,0)),"UNASSIGNED")</f>
        <v>Account Manager Agent</v>
      </c>
      <c r="D177" s="19" t="str">
        <f aca="false">IFERROR(INDEX('Agent Roster'!$D:$D,MATCH(B177,'Agent Roster'!$A:$A,0)),"UNASSIGNED")</f>
        <v>8 · Client Success Hub</v>
      </c>
      <c r="E177" s="19" t="s">
        <v>1904</v>
      </c>
      <c r="F177" s="19" t="s">
        <v>1925</v>
      </c>
      <c r="G177" s="19" t="s">
        <v>1315</v>
      </c>
      <c r="H177" s="19" t="s">
        <v>1906</v>
      </c>
      <c r="I177" s="19" t="s">
        <v>1926</v>
      </c>
      <c r="J177" s="19" t="s">
        <v>1908</v>
      </c>
      <c r="K177" s="19" t="s">
        <v>1350</v>
      </c>
      <c r="L177" s="19" t="s">
        <v>1351</v>
      </c>
      <c r="M177" s="19" t="s">
        <v>1112</v>
      </c>
      <c r="N177" s="19"/>
      <c r="O177" s="19" t="s">
        <v>1321</v>
      </c>
    </row>
    <row r="178" customFormat="false" ht="15" hidden="false" customHeight="false" outlineLevel="0" collapsed="false">
      <c r="A178" s="19" t="s">
        <v>1927</v>
      </c>
      <c r="B178" s="19" t="s">
        <v>1135</v>
      </c>
      <c r="C178" s="19" t="str">
        <f aca="false">IFERROR(INDEX('Agent Roster'!$B:$B,MATCH(B178,'Agent Roster'!$A:$A,0)),"UNASSIGNED")</f>
        <v>Client BEAS &amp; Results Reporter</v>
      </c>
      <c r="D178" s="19" t="str">
        <f aca="false">IFERROR(INDEX('Agent Roster'!$D:$D,MATCH(B178,'Agent Roster'!$A:$A,0)),"UNASSIGNED")</f>
        <v>8 · Client Success Hub</v>
      </c>
      <c r="E178" s="19" t="s">
        <v>1904</v>
      </c>
      <c r="F178" s="19" t="s">
        <v>1928</v>
      </c>
      <c r="G178" s="19" t="s">
        <v>1315</v>
      </c>
      <c r="H178" s="19" t="s">
        <v>1906</v>
      </c>
      <c r="I178" s="19" t="s">
        <v>1929</v>
      </c>
      <c r="J178" s="19" t="s">
        <v>1908</v>
      </c>
      <c r="K178" s="19" t="s">
        <v>1355</v>
      </c>
      <c r="L178" s="19" t="s">
        <v>1356</v>
      </c>
      <c r="M178" s="19" t="s">
        <v>1135</v>
      </c>
      <c r="N178" s="19"/>
      <c r="O178" s="19" t="s">
        <v>1321</v>
      </c>
    </row>
    <row r="179" customFormat="false" ht="15" hidden="false" customHeight="false" outlineLevel="0" collapsed="false">
      <c r="A179" s="19" t="s">
        <v>1930</v>
      </c>
      <c r="B179" s="19" t="s">
        <v>1181</v>
      </c>
      <c r="C179" s="19" t="str">
        <f aca="false">IFERROR(INDEX('Agent Roster'!$B:$B,MATCH(B179,'Agent Roster'!$A:$A,0)),"UNASSIGNED")</f>
        <v>Quarterly Immersion Review Agent</v>
      </c>
      <c r="D179" s="19" t="str">
        <f aca="false">IFERROR(INDEX('Agent Roster'!$D:$D,MATCH(B179,'Agent Roster'!$A:$A,0)),"UNASSIGNED")</f>
        <v>8 · Client Success Hub</v>
      </c>
      <c r="E179" s="19" t="s">
        <v>1904</v>
      </c>
      <c r="F179" s="19" t="s">
        <v>1931</v>
      </c>
      <c r="G179" s="19" t="s">
        <v>1315</v>
      </c>
      <c r="H179" s="19" t="s">
        <v>1906</v>
      </c>
      <c r="I179" s="19" t="s">
        <v>1932</v>
      </c>
      <c r="J179" s="19" t="s">
        <v>1908</v>
      </c>
      <c r="K179" s="19" t="s">
        <v>1360</v>
      </c>
      <c r="L179" s="19" t="s">
        <v>1361</v>
      </c>
      <c r="M179" s="19" t="s">
        <v>1181</v>
      </c>
      <c r="N179" s="19"/>
      <c r="O179" s="19" t="s">
        <v>1321</v>
      </c>
    </row>
    <row r="180" customFormat="false" ht="22.35" hidden="false" customHeight="false" outlineLevel="0" collapsed="false">
      <c r="A180" s="19" t="s">
        <v>1933</v>
      </c>
      <c r="B180" s="19" t="s">
        <v>302</v>
      </c>
      <c r="C180" s="19" t="str">
        <f aca="false">IFERROR(INDEX('Agent Roster'!$B:$B,MATCH(B180,'Agent Roster'!$A:$A,0)),"UNASSIGNED")</f>
        <v>Database &amp; Documentation Agent (Shepherd's Way Step 06)</v>
      </c>
      <c r="D180" s="19" t="str">
        <f aca="false">IFERROR(INDEX('Agent Roster'!$D:$D,MATCH(B180,'Agent Roster'!$A:$A,0)),"UNASSIGNED")</f>
        <v>Orchestration &amp; Diagnostics</v>
      </c>
      <c r="E180" s="19" t="s">
        <v>1904</v>
      </c>
      <c r="F180" s="19" t="s">
        <v>1934</v>
      </c>
      <c r="G180" s="19" t="s">
        <v>1315</v>
      </c>
      <c r="H180" s="19" t="s">
        <v>1906</v>
      </c>
      <c r="I180" s="19" t="s">
        <v>1935</v>
      </c>
      <c r="J180" s="19" t="s">
        <v>1908</v>
      </c>
      <c r="K180" s="19" t="s">
        <v>1365</v>
      </c>
      <c r="L180" s="19" t="s">
        <v>1376</v>
      </c>
      <c r="M180" s="19" t="s">
        <v>1377</v>
      </c>
      <c r="N180" s="19"/>
      <c r="O180" s="19" t="s">
        <v>1321</v>
      </c>
    </row>
    <row r="181" customFormat="false" ht="22.35" hidden="false" customHeight="false" outlineLevel="0" collapsed="false">
      <c r="A181" s="19" t="s">
        <v>1936</v>
      </c>
      <c r="B181" s="19" t="s">
        <v>314</v>
      </c>
      <c r="C181" s="19" t="str">
        <f aca="false">IFERROR(INDEX('Agent Roster'!$B:$B,MATCH(B181,'Agent Roster'!$A:$A,0)),"UNASSIGNED")</f>
        <v>Decision Support Agent</v>
      </c>
      <c r="D181" s="19" t="str">
        <f aca="false">IFERROR(INDEX('Agent Roster'!$D:$D,MATCH(B181,'Agent Roster'!$A:$A,0)),"UNASSIGNED")</f>
        <v>Orchestration &amp; Diagnostics</v>
      </c>
      <c r="E181" s="19" t="s">
        <v>1937</v>
      </c>
      <c r="F181" s="19" t="s">
        <v>1938</v>
      </c>
      <c r="G181" s="19" t="s">
        <v>1315</v>
      </c>
      <c r="H181" s="19" t="s">
        <v>317</v>
      </c>
      <c r="I181" s="19" t="s">
        <v>1939</v>
      </c>
      <c r="J181" s="19" t="s">
        <v>1940</v>
      </c>
      <c r="K181" s="19" t="s">
        <v>1319</v>
      </c>
      <c r="L181" s="19" t="s">
        <v>1320</v>
      </c>
      <c r="M181" s="19" t="s">
        <v>314</v>
      </c>
      <c r="N181" s="19"/>
      <c r="O181" s="19" t="s">
        <v>1321</v>
      </c>
    </row>
    <row r="182" customFormat="false" ht="22.35" hidden="false" customHeight="false" outlineLevel="0" collapsed="false">
      <c r="A182" s="19" t="s">
        <v>1941</v>
      </c>
      <c r="B182" s="19" t="s">
        <v>314</v>
      </c>
      <c r="C182" s="19" t="str">
        <f aca="false">IFERROR(INDEX('Agent Roster'!$B:$B,MATCH(B182,'Agent Roster'!$A:$A,0)),"UNASSIGNED")</f>
        <v>Decision Support Agent</v>
      </c>
      <c r="D182" s="19" t="str">
        <f aca="false">IFERROR(INDEX('Agent Roster'!$D:$D,MATCH(B182,'Agent Roster'!$A:$A,0)),"UNASSIGNED")</f>
        <v>Orchestration &amp; Diagnostics</v>
      </c>
      <c r="E182" s="19" t="s">
        <v>1937</v>
      </c>
      <c r="F182" s="19" t="s">
        <v>1942</v>
      </c>
      <c r="G182" s="19" t="s">
        <v>1315</v>
      </c>
      <c r="H182" s="19" t="s">
        <v>317</v>
      </c>
      <c r="I182" s="19" t="s">
        <v>1943</v>
      </c>
      <c r="J182" s="19" t="s">
        <v>1940</v>
      </c>
      <c r="K182" s="19" t="s">
        <v>1325</v>
      </c>
      <c r="L182" s="19" t="s">
        <v>1326</v>
      </c>
      <c r="M182" s="19" t="s">
        <v>314</v>
      </c>
      <c r="N182" s="19"/>
      <c r="O182" s="19" t="s">
        <v>1321</v>
      </c>
    </row>
    <row r="183" customFormat="false" ht="22.35" hidden="false" customHeight="false" outlineLevel="0" collapsed="false">
      <c r="A183" s="19" t="s">
        <v>1944</v>
      </c>
      <c r="B183" s="19" t="s">
        <v>314</v>
      </c>
      <c r="C183" s="19" t="str">
        <f aca="false">IFERROR(INDEX('Agent Roster'!$B:$B,MATCH(B183,'Agent Roster'!$A:$A,0)),"UNASSIGNED")</f>
        <v>Decision Support Agent</v>
      </c>
      <c r="D183" s="19" t="str">
        <f aca="false">IFERROR(INDEX('Agent Roster'!$D:$D,MATCH(B183,'Agent Roster'!$A:$A,0)),"UNASSIGNED")</f>
        <v>Orchestration &amp; Diagnostics</v>
      </c>
      <c r="E183" s="19" t="s">
        <v>1937</v>
      </c>
      <c r="F183" s="19" t="s">
        <v>1945</v>
      </c>
      <c r="G183" s="19" t="s">
        <v>1315</v>
      </c>
      <c r="H183" s="19" t="s">
        <v>317</v>
      </c>
      <c r="I183" s="19" t="s">
        <v>1946</v>
      </c>
      <c r="J183" s="19" t="s">
        <v>1940</v>
      </c>
      <c r="K183" s="19" t="s">
        <v>1330</v>
      </c>
      <c r="L183" s="19" t="s">
        <v>1331</v>
      </c>
      <c r="M183" s="19" t="s">
        <v>314</v>
      </c>
      <c r="N183" s="19"/>
      <c r="O183" s="19" t="s">
        <v>1321</v>
      </c>
    </row>
    <row r="184" customFormat="false" ht="22.35" hidden="false" customHeight="false" outlineLevel="0" collapsed="false">
      <c r="A184" s="19" t="s">
        <v>1947</v>
      </c>
      <c r="B184" s="19" t="s">
        <v>314</v>
      </c>
      <c r="C184" s="19" t="str">
        <f aca="false">IFERROR(INDEX('Agent Roster'!$B:$B,MATCH(B184,'Agent Roster'!$A:$A,0)),"UNASSIGNED")</f>
        <v>Decision Support Agent</v>
      </c>
      <c r="D184" s="19" t="str">
        <f aca="false">IFERROR(INDEX('Agent Roster'!$D:$D,MATCH(B184,'Agent Roster'!$A:$A,0)),"UNASSIGNED")</f>
        <v>Orchestration &amp; Diagnostics</v>
      </c>
      <c r="E184" s="19" t="s">
        <v>1937</v>
      </c>
      <c r="F184" s="19" t="s">
        <v>1948</v>
      </c>
      <c r="G184" s="19" t="s">
        <v>1315</v>
      </c>
      <c r="H184" s="19" t="s">
        <v>317</v>
      </c>
      <c r="I184" s="19" t="s">
        <v>1949</v>
      </c>
      <c r="J184" s="19" t="s">
        <v>1940</v>
      </c>
      <c r="K184" s="19" t="s">
        <v>1335</v>
      </c>
      <c r="L184" s="19" t="s">
        <v>1336</v>
      </c>
      <c r="M184" s="19" t="s">
        <v>314</v>
      </c>
      <c r="N184" s="19"/>
      <c r="O184" s="19" t="s">
        <v>1321</v>
      </c>
    </row>
    <row r="185" customFormat="false" ht="22.35" hidden="false" customHeight="false" outlineLevel="0" collapsed="false">
      <c r="A185" s="19" t="s">
        <v>1950</v>
      </c>
      <c r="B185" s="19" t="s">
        <v>314</v>
      </c>
      <c r="C185" s="19" t="str">
        <f aca="false">IFERROR(INDEX('Agent Roster'!$B:$B,MATCH(B185,'Agent Roster'!$A:$A,0)),"UNASSIGNED")</f>
        <v>Decision Support Agent</v>
      </c>
      <c r="D185" s="19" t="str">
        <f aca="false">IFERROR(INDEX('Agent Roster'!$D:$D,MATCH(B185,'Agent Roster'!$A:$A,0)),"UNASSIGNED")</f>
        <v>Orchestration &amp; Diagnostics</v>
      </c>
      <c r="E185" s="19" t="s">
        <v>1937</v>
      </c>
      <c r="F185" s="19" t="s">
        <v>1951</v>
      </c>
      <c r="G185" s="19" t="s">
        <v>1315</v>
      </c>
      <c r="H185" s="19" t="s">
        <v>317</v>
      </c>
      <c r="I185" s="19" t="s">
        <v>1952</v>
      </c>
      <c r="J185" s="19" t="s">
        <v>1940</v>
      </c>
      <c r="K185" s="19" t="s">
        <v>1340</v>
      </c>
      <c r="L185" s="19" t="s">
        <v>1341</v>
      </c>
      <c r="M185" s="19" t="s">
        <v>314</v>
      </c>
      <c r="N185" s="19"/>
      <c r="O185" s="19" t="s">
        <v>1321</v>
      </c>
    </row>
    <row r="186" customFormat="false" ht="22.35" hidden="false" customHeight="false" outlineLevel="0" collapsed="false">
      <c r="A186" s="19" t="s">
        <v>1953</v>
      </c>
      <c r="B186" s="19" t="s">
        <v>314</v>
      </c>
      <c r="C186" s="19" t="str">
        <f aca="false">IFERROR(INDEX('Agent Roster'!$B:$B,MATCH(B186,'Agent Roster'!$A:$A,0)),"UNASSIGNED")</f>
        <v>Decision Support Agent</v>
      </c>
      <c r="D186" s="19" t="str">
        <f aca="false">IFERROR(INDEX('Agent Roster'!$D:$D,MATCH(B186,'Agent Roster'!$A:$A,0)),"UNASSIGNED")</f>
        <v>Orchestration &amp; Diagnostics</v>
      </c>
      <c r="E186" s="19" t="s">
        <v>1937</v>
      </c>
      <c r="F186" s="19" t="s">
        <v>1954</v>
      </c>
      <c r="G186" s="19" t="s">
        <v>1315</v>
      </c>
      <c r="H186" s="19" t="s">
        <v>317</v>
      </c>
      <c r="I186" s="19" t="s">
        <v>1955</v>
      </c>
      <c r="J186" s="19" t="s">
        <v>1940</v>
      </c>
      <c r="K186" s="19" t="s">
        <v>1345</v>
      </c>
      <c r="L186" s="19" t="s">
        <v>1346</v>
      </c>
      <c r="M186" s="19" t="s">
        <v>314</v>
      </c>
      <c r="N186" s="19"/>
      <c r="O186" s="19" t="s">
        <v>1321</v>
      </c>
    </row>
    <row r="187" customFormat="false" ht="22.35" hidden="false" customHeight="false" outlineLevel="0" collapsed="false">
      <c r="A187" s="19" t="s">
        <v>1956</v>
      </c>
      <c r="B187" s="19" t="s">
        <v>314</v>
      </c>
      <c r="C187" s="19" t="str">
        <f aca="false">IFERROR(INDEX('Agent Roster'!$B:$B,MATCH(B187,'Agent Roster'!$A:$A,0)),"UNASSIGNED")</f>
        <v>Decision Support Agent</v>
      </c>
      <c r="D187" s="19" t="str">
        <f aca="false">IFERROR(INDEX('Agent Roster'!$D:$D,MATCH(B187,'Agent Roster'!$A:$A,0)),"UNASSIGNED")</f>
        <v>Orchestration &amp; Diagnostics</v>
      </c>
      <c r="E187" s="19" t="s">
        <v>1937</v>
      </c>
      <c r="F187" s="19" t="s">
        <v>1957</v>
      </c>
      <c r="G187" s="19" t="s">
        <v>1315</v>
      </c>
      <c r="H187" s="19" t="s">
        <v>317</v>
      </c>
      <c r="I187" s="19" t="s">
        <v>1958</v>
      </c>
      <c r="J187" s="19" t="s">
        <v>1940</v>
      </c>
      <c r="K187" s="19" t="s">
        <v>1350</v>
      </c>
      <c r="L187" s="19" t="s">
        <v>1351</v>
      </c>
      <c r="M187" s="19" t="s">
        <v>314</v>
      </c>
      <c r="N187" s="19"/>
      <c r="O187" s="19" t="s">
        <v>1321</v>
      </c>
    </row>
    <row r="188" customFormat="false" ht="22.35" hidden="false" customHeight="false" outlineLevel="0" collapsed="false">
      <c r="A188" s="19" t="s">
        <v>1959</v>
      </c>
      <c r="B188" s="19" t="s">
        <v>47</v>
      </c>
      <c r="C188" s="19" t="str">
        <f aca="false">IFERROR(INDEX('Agent Roster'!$B:$B,MATCH(B188,'Agent Roster'!$A:$A,0)),"UNASSIGNED")</f>
        <v>Founder / Operator (HUMAN)</v>
      </c>
      <c r="D188" s="19" t="str">
        <f aca="false">IFERROR(INDEX('Agent Roster'!$D:$D,MATCH(B188,'Agent Roster'!$A:$A,0)),"UNASSIGNED")</f>
        <v>Governance &amp; Meta-Tier</v>
      </c>
      <c r="E188" s="19" t="s">
        <v>1937</v>
      </c>
      <c r="F188" s="19" t="s">
        <v>1960</v>
      </c>
      <c r="G188" s="19" t="s">
        <v>1315</v>
      </c>
      <c r="H188" s="19" t="s">
        <v>317</v>
      </c>
      <c r="I188" s="19" t="s">
        <v>1961</v>
      </c>
      <c r="J188" s="19" t="s">
        <v>1940</v>
      </c>
      <c r="K188" s="19" t="s">
        <v>1355</v>
      </c>
      <c r="L188" s="19" t="s">
        <v>1356</v>
      </c>
      <c r="M188" s="19" t="s">
        <v>47</v>
      </c>
      <c r="N188" s="19" t="s">
        <v>1657</v>
      </c>
      <c r="O188" s="19" t="s">
        <v>1321</v>
      </c>
    </row>
    <row r="189" customFormat="false" ht="22.35" hidden="false" customHeight="false" outlineLevel="0" collapsed="false">
      <c r="A189" s="19" t="s">
        <v>1962</v>
      </c>
      <c r="B189" s="19" t="s">
        <v>314</v>
      </c>
      <c r="C189" s="19" t="str">
        <f aca="false">IFERROR(INDEX('Agent Roster'!$B:$B,MATCH(B189,'Agent Roster'!$A:$A,0)),"UNASSIGNED")</f>
        <v>Decision Support Agent</v>
      </c>
      <c r="D189" s="19" t="str">
        <f aca="false">IFERROR(INDEX('Agent Roster'!$D:$D,MATCH(B189,'Agent Roster'!$A:$A,0)),"UNASSIGNED")</f>
        <v>Orchestration &amp; Diagnostics</v>
      </c>
      <c r="E189" s="19" t="s">
        <v>1937</v>
      </c>
      <c r="F189" s="19" t="s">
        <v>1963</v>
      </c>
      <c r="G189" s="19" t="s">
        <v>1315</v>
      </c>
      <c r="H189" s="19" t="s">
        <v>317</v>
      </c>
      <c r="I189" s="19" t="s">
        <v>1964</v>
      </c>
      <c r="J189" s="19" t="s">
        <v>1940</v>
      </c>
      <c r="K189" s="19" t="s">
        <v>1360</v>
      </c>
      <c r="L189" s="19" t="s">
        <v>1361</v>
      </c>
      <c r="M189" s="19" t="s">
        <v>314</v>
      </c>
      <c r="N189" s="19"/>
      <c r="O189" s="19" t="s">
        <v>1321</v>
      </c>
    </row>
    <row r="190" customFormat="false" ht="22.35" hidden="false" customHeight="false" outlineLevel="0" collapsed="false">
      <c r="A190" s="19" t="s">
        <v>1965</v>
      </c>
      <c r="B190" s="19" t="s">
        <v>314</v>
      </c>
      <c r="C190" s="19" t="str">
        <f aca="false">IFERROR(INDEX('Agent Roster'!$B:$B,MATCH(B190,'Agent Roster'!$A:$A,0)),"UNASSIGNED")</f>
        <v>Decision Support Agent</v>
      </c>
      <c r="D190" s="19" t="str">
        <f aca="false">IFERROR(INDEX('Agent Roster'!$D:$D,MATCH(B190,'Agent Roster'!$A:$A,0)),"UNASSIGNED")</f>
        <v>Orchestration &amp; Diagnostics</v>
      </c>
      <c r="E190" s="19" t="s">
        <v>1937</v>
      </c>
      <c r="F190" s="19" t="s">
        <v>1966</v>
      </c>
      <c r="G190" s="19" t="s">
        <v>1315</v>
      </c>
      <c r="H190" s="19" t="s">
        <v>317</v>
      </c>
      <c r="I190" s="19" t="s">
        <v>1967</v>
      </c>
      <c r="J190" s="19" t="s">
        <v>1940</v>
      </c>
      <c r="K190" s="19" t="s">
        <v>1365</v>
      </c>
      <c r="L190" s="19" t="s">
        <v>1376</v>
      </c>
      <c r="M190" s="19" t="s">
        <v>1377</v>
      </c>
      <c r="N190" s="19"/>
      <c r="O190" s="19" t="s">
        <v>1321</v>
      </c>
    </row>
    <row r="191" customFormat="false" ht="22.35" hidden="false" customHeight="false" outlineLevel="0" collapsed="false">
      <c r="A191" s="19" t="s">
        <v>1968</v>
      </c>
      <c r="B191" s="19" t="s">
        <v>941</v>
      </c>
      <c r="C191" s="19" t="str">
        <f aca="false">IFERROR(INDEX('Agent Roster'!$B:$B,MATCH(B191,'Agent Roster'!$A:$A,0)),"UNASSIGNED")</f>
        <v>Conflict Resolution Agent</v>
      </c>
      <c r="D191" s="19" t="str">
        <f aca="false">IFERROR(INDEX('Agent Roster'!$D:$D,MATCH(B191,'Agent Roster'!$A:$A,0)),"UNASSIGNED")</f>
        <v>6 · HR &amp; Culture Hub</v>
      </c>
      <c r="E191" s="19" t="s">
        <v>1969</v>
      </c>
      <c r="F191" s="19" t="s">
        <v>1970</v>
      </c>
      <c r="G191" s="19" t="s">
        <v>1315</v>
      </c>
      <c r="H191" s="19" t="s">
        <v>944</v>
      </c>
      <c r="I191" s="19" t="s">
        <v>1971</v>
      </c>
      <c r="J191" s="19" t="s">
        <v>1972</v>
      </c>
      <c r="K191" s="19" t="s">
        <v>1319</v>
      </c>
      <c r="L191" s="19" t="s">
        <v>1320</v>
      </c>
      <c r="M191" s="19" t="s">
        <v>941</v>
      </c>
      <c r="N191" s="19"/>
      <c r="O191" s="19" t="s">
        <v>1321</v>
      </c>
    </row>
    <row r="192" customFormat="false" ht="22.35" hidden="false" customHeight="false" outlineLevel="0" collapsed="false">
      <c r="A192" s="19" t="s">
        <v>1973</v>
      </c>
      <c r="B192" s="19" t="s">
        <v>941</v>
      </c>
      <c r="C192" s="19" t="str">
        <f aca="false">IFERROR(INDEX('Agent Roster'!$B:$B,MATCH(B192,'Agent Roster'!$A:$A,0)),"UNASSIGNED")</f>
        <v>Conflict Resolution Agent</v>
      </c>
      <c r="D192" s="19" t="str">
        <f aca="false">IFERROR(INDEX('Agent Roster'!$D:$D,MATCH(B192,'Agent Roster'!$A:$A,0)),"UNASSIGNED")</f>
        <v>6 · HR &amp; Culture Hub</v>
      </c>
      <c r="E192" s="19" t="s">
        <v>1969</v>
      </c>
      <c r="F192" s="19" t="s">
        <v>1974</v>
      </c>
      <c r="G192" s="19" t="s">
        <v>1315</v>
      </c>
      <c r="H192" s="19" t="s">
        <v>944</v>
      </c>
      <c r="I192" s="19" t="s">
        <v>1975</v>
      </c>
      <c r="J192" s="19" t="s">
        <v>1972</v>
      </c>
      <c r="K192" s="19" t="s">
        <v>1325</v>
      </c>
      <c r="L192" s="19" t="s">
        <v>1326</v>
      </c>
      <c r="M192" s="19" t="s">
        <v>941</v>
      </c>
      <c r="N192" s="19"/>
      <c r="O192" s="19" t="s">
        <v>1321</v>
      </c>
    </row>
    <row r="193" customFormat="false" ht="15" hidden="false" customHeight="false" outlineLevel="0" collapsed="false">
      <c r="A193" s="19" t="s">
        <v>1976</v>
      </c>
      <c r="B193" s="19" t="s">
        <v>941</v>
      </c>
      <c r="C193" s="19" t="str">
        <f aca="false">IFERROR(INDEX('Agent Roster'!$B:$B,MATCH(B193,'Agent Roster'!$A:$A,0)),"UNASSIGNED")</f>
        <v>Conflict Resolution Agent</v>
      </c>
      <c r="D193" s="19" t="str">
        <f aca="false">IFERROR(INDEX('Agent Roster'!$D:$D,MATCH(B193,'Agent Roster'!$A:$A,0)),"UNASSIGNED")</f>
        <v>6 · HR &amp; Culture Hub</v>
      </c>
      <c r="E193" s="19" t="s">
        <v>1969</v>
      </c>
      <c r="F193" s="19" t="s">
        <v>1977</v>
      </c>
      <c r="G193" s="19" t="s">
        <v>1315</v>
      </c>
      <c r="H193" s="19" t="s">
        <v>944</v>
      </c>
      <c r="I193" s="19" t="s">
        <v>1978</v>
      </c>
      <c r="J193" s="19" t="s">
        <v>1972</v>
      </c>
      <c r="K193" s="19" t="s">
        <v>1330</v>
      </c>
      <c r="L193" s="19" t="s">
        <v>1331</v>
      </c>
      <c r="M193" s="19" t="s">
        <v>941</v>
      </c>
      <c r="N193" s="19"/>
      <c r="O193" s="19" t="s">
        <v>1321</v>
      </c>
    </row>
    <row r="194" customFormat="false" ht="15" hidden="false" customHeight="false" outlineLevel="0" collapsed="false">
      <c r="A194" s="19" t="s">
        <v>1979</v>
      </c>
      <c r="B194" s="19" t="s">
        <v>941</v>
      </c>
      <c r="C194" s="19" t="str">
        <f aca="false">IFERROR(INDEX('Agent Roster'!$B:$B,MATCH(B194,'Agent Roster'!$A:$A,0)),"UNASSIGNED")</f>
        <v>Conflict Resolution Agent</v>
      </c>
      <c r="D194" s="19" t="str">
        <f aca="false">IFERROR(INDEX('Agent Roster'!$D:$D,MATCH(B194,'Agent Roster'!$A:$A,0)),"UNASSIGNED")</f>
        <v>6 · HR &amp; Culture Hub</v>
      </c>
      <c r="E194" s="19" t="s">
        <v>1969</v>
      </c>
      <c r="F194" s="19" t="s">
        <v>1980</v>
      </c>
      <c r="G194" s="19" t="s">
        <v>1315</v>
      </c>
      <c r="H194" s="19" t="s">
        <v>944</v>
      </c>
      <c r="I194" s="19" t="s">
        <v>1981</v>
      </c>
      <c r="J194" s="19" t="s">
        <v>1972</v>
      </c>
      <c r="K194" s="19" t="s">
        <v>1335</v>
      </c>
      <c r="L194" s="19" t="s">
        <v>1336</v>
      </c>
      <c r="M194" s="19" t="s">
        <v>941</v>
      </c>
      <c r="N194" s="19"/>
      <c r="O194" s="19" t="s">
        <v>1321</v>
      </c>
    </row>
    <row r="195" customFormat="false" ht="15" hidden="false" customHeight="false" outlineLevel="0" collapsed="false">
      <c r="A195" s="19" t="s">
        <v>1982</v>
      </c>
      <c r="B195" s="19" t="s">
        <v>941</v>
      </c>
      <c r="C195" s="19" t="str">
        <f aca="false">IFERROR(INDEX('Agent Roster'!$B:$B,MATCH(B195,'Agent Roster'!$A:$A,0)),"UNASSIGNED")</f>
        <v>Conflict Resolution Agent</v>
      </c>
      <c r="D195" s="19" t="str">
        <f aca="false">IFERROR(INDEX('Agent Roster'!$D:$D,MATCH(B195,'Agent Roster'!$A:$A,0)),"UNASSIGNED")</f>
        <v>6 · HR &amp; Culture Hub</v>
      </c>
      <c r="E195" s="19" t="s">
        <v>1969</v>
      </c>
      <c r="F195" s="19" t="s">
        <v>1983</v>
      </c>
      <c r="G195" s="19" t="s">
        <v>1315</v>
      </c>
      <c r="H195" s="19" t="s">
        <v>944</v>
      </c>
      <c r="I195" s="19" t="s">
        <v>1984</v>
      </c>
      <c r="J195" s="19" t="s">
        <v>1972</v>
      </c>
      <c r="K195" s="19" t="s">
        <v>1340</v>
      </c>
      <c r="L195" s="19" t="s">
        <v>1341</v>
      </c>
      <c r="M195" s="19" t="s">
        <v>941</v>
      </c>
      <c r="N195" s="19"/>
      <c r="O195" s="19" t="s">
        <v>1321</v>
      </c>
    </row>
    <row r="196" customFormat="false" ht="15" hidden="false" customHeight="false" outlineLevel="0" collapsed="false">
      <c r="A196" s="19" t="s">
        <v>1985</v>
      </c>
      <c r="B196" s="19" t="s">
        <v>941</v>
      </c>
      <c r="C196" s="19" t="str">
        <f aca="false">IFERROR(INDEX('Agent Roster'!$B:$B,MATCH(B196,'Agent Roster'!$A:$A,0)),"UNASSIGNED")</f>
        <v>Conflict Resolution Agent</v>
      </c>
      <c r="D196" s="19" t="str">
        <f aca="false">IFERROR(INDEX('Agent Roster'!$D:$D,MATCH(B196,'Agent Roster'!$A:$A,0)),"UNASSIGNED")</f>
        <v>6 · HR &amp; Culture Hub</v>
      </c>
      <c r="E196" s="19" t="s">
        <v>1969</v>
      </c>
      <c r="F196" s="19" t="s">
        <v>1986</v>
      </c>
      <c r="G196" s="19" t="s">
        <v>1315</v>
      </c>
      <c r="H196" s="19" t="s">
        <v>944</v>
      </c>
      <c r="I196" s="19" t="s">
        <v>1987</v>
      </c>
      <c r="J196" s="19" t="s">
        <v>1972</v>
      </c>
      <c r="K196" s="19" t="s">
        <v>1345</v>
      </c>
      <c r="L196" s="19" t="s">
        <v>1346</v>
      </c>
      <c r="M196" s="19" t="s">
        <v>941</v>
      </c>
      <c r="N196" s="19"/>
      <c r="O196" s="19" t="s">
        <v>1321</v>
      </c>
    </row>
    <row r="197" customFormat="false" ht="15" hidden="false" customHeight="false" outlineLevel="0" collapsed="false">
      <c r="A197" s="19" t="s">
        <v>1988</v>
      </c>
      <c r="B197" s="19" t="s">
        <v>941</v>
      </c>
      <c r="C197" s="19" t="str">
        <f aca="false">IFERROR(INDEX('Agent Roster'!$B:$B,MATCH(B197,'Agent Roster'!$A:$A,0)),"UNASSIGNED")</f>
        <v>Conflict Resolution Agent</v>
      </c>
      <c r="D197" s="19" t="str">
        <f aca="false">IFERROR(INDEX('Agent Roster'!$D:$D,MATCH(B197,'Agent Roster'!$A:$A,0)),"UNASSIGNED")</f>
        <v>6 · HR &amp; Culture Hub</v>
      </c>
      <c r="E197" s="19" t="s">
        <v>1969</v>
      </c>
      <c r="F197" s="19" t="s">
        <v>1989</v>
      </c>
      <c r="G197" s="19" t="s">
        <v>1315</v>
      </c>
      <c r="H197" s="19" t="s">
        <v>944</v>
      </c>
      <c r="I197" s="19" t="s">
        <v>1990</v>
      </c>
      <c r="J197" s="19" t="s">
        <v>1972</v>
      </c>
      <c r="K197" s="19" t="s">
        <v>1350</v>
      </c>
      <c r="L197" s="19" t="s">
        <v>1351</v>
      </c>
      <c r="M197" s="19" t="s">
        <v>941</v>
      </c>
      <c r="N197" s="19"/>
      <c r="O197" s="19" t="s">
        <v>1321</v>
      </c>
    </row>
    <row r="198" customFormat="false" ht="15" hidden="false" customHeight="false" outlineLevel="0" collapsed="false">
      <c r="A198" s="19" t="s">
        <v>1991</v>
      </c>
      <c r="B198" s="19" t="s">
        <v>941</v>
      </c>
      <c r="C198" s="19" t="str">
        <f aca="false">IFERROR(INDEX('Agent Roster'!$B:$B,MATCH(B198,'Agent Roster'!$A:$A,0)),"UNASSIGNED")</f>
        <v>Conflict Resolution Agent</v>
      </c>
      <c r="D198" s="19" t="str">
        <f aca="false">IFERROR(INDEX('Agent Roster'!$D:$D,MATCH(B198,'Agent Roster'!$A:$A,0)),"UNASSIGNED")</f>
        <v>6 · HR &amp; Culture Hub</v>
      </c>
      <c r="E198" s="19" t="s">
        <v>1969</v>
      </c>
      <c r="F198" s="19" t="s">
        <v>1992</v>
      </c>
      <c r="G198" s="19" t="s">
        <v>1315</v>
      </c>
      <c r="H198" s="19" t="s">
        <v>944</v>
      </c>
      <c r="I198" s="19" t="s">
        <v>1993</v>
      </c>
      <c r="J198" s="19" t="s">
        <v>1972</v>
      </c>
      <c r="K198" s="19" t="s">
        <v>1355</v>
      </c>
      <c r="L198" s="19" t="s">
        <v>1356</v>
      </c>
      <c r="M198" s="19" t="s">
        <v>941</v>
      </c>
      <c r="N198" s="19"/>
      <c r="O198" s="19" t="s">
        <v>1321</v>
      </c>
    </row>
    <row r="199" customFormat="false" ht="22.35" hidden="false" customHeight="false" outlineLevel="0" collapsed="false">
      <c r="A199" s="19" t="s">
        <v>1994</v>
      </c>
      <c r="B199" s="19" t="s">
        <v>941</v>
      </c>
      <c r="C199" s="19" t="str">
        <f aca="false">IFERROR(INDEX('Agent Roster'!$B:$B,MATCH(B199,'Agent Roster'!$A:$A,0)),"UNASSIGNED")</f>
        <v>Conflict Resolution Agent</v>
      </c>
      <c r="D199" s="19" t="str">
        <f aca="false">IFERROR(INDEX('Agent Roster'!$D:$D,MATCH(B199,'Agent Roster'!$A:$A,0)),"UNASSIGNED")</f>
        <v>6 · HR &amp; Culture Hub</v>
      </c>
      <c r="E199" s="19" t="s">
        <v>1969</v>
      </c>
      <c r="F199" s="19" t="s">
        <v>1995</v>
      </c>
      <c r="G199" s="19" t="s">
        <v>1315</v>
      </c>
      <c r="H199" s="19" t="s">
        <v>944</v>
      </c>
      <c r="I199" s="19" t="s">
        <v>1996</v>
      </c>
      <c r="J199" s="19" t="s">
        <v>1972</v>
      </c>
      <c r="K199" s="19" t="s">
        <v>1360</v>
      </c>
      <c r="L199" s="19" t="s">
        <v>1376</v>
      </c>
      <c r="M199" s="19" t="s">
        <v>1377</v>
      </c>
      <c r="N199" s="19"/>
      <c r="O199" s="19" t="s">
        <v>1321</v>
      </c>
    </row>
    <row r="200" customFormat="false" ht="22.35" hidden="false" customHeight="false" outlineLevel="0" collapsed="false">
      <c r="A200" s="19" t="s">
        <v>1997</v>
      </c>
      <c r="B200" s="19" t="s">
        <v>428</v>
      </c>
      <c r="C200" s="19" t="str">
        <f aca="false">IFERROR(INDEX('Agent Roster'!$B:$B,MATCH(B200,'Agent Roster'!$A:$A,0)),"UNASSIGNED")</f>
        <v>Quarterly Direction &amp; Strategic Planning Agent</v>
      </c>
      <c r="D200" s="19" t="str">
        <f aca="false">IFERROR(INDEX('Agent Roster'!$D:$D,MATCH(B200,'Agent Roster'!$A:$A,0)),"UNASSIGNED")</f>
        <v>1 · Strategy Hub</v>
      </c>
      <c r="E200" s="19" t="s">
        <v>1998</v>
      </c>
      <c r="F200" s="19" t="s">
        <v>1999</v>
      </c>
      <c r="G200" s="19" t="s">
        <v>1315</v>
      </c>
      <c r="H200" s="19" t="s">
        <v>431</v>
      </c>
      <c r="I200" s="19" t="s">
        <v>2000</v>
      </c>
      <c r="J200" s="19" t="s">
        <v>2001</v>
      </c>
      <c r="K200" s="19" t="s">
        <v>1319</v>
      </c>
      <c r="L200" s="19" t="s">
        <v>1320</v>
      </c>
      <c r="M200" s="19" t="s">
        <v>428</v>
      </c>
      <c r="N200" s="19"/>
      <c r="O200" s="19" t="s">
        <v>1321</v>
      </c>
    </row>
    <row r="201" customFormat="false" ht="22.35" hidden="false" customHeight="false" outlineLevel="0" collapsed="false">
      <c r="A201" s="19" t="s">
        <v>2002</v>
      </c>
      <c r="B201" s="19" t="s">
        <v>428</v>
      </c>
      <c r="C201" s="19" t="str">
        <f aca="false">IFERROR(INDEX('Agent Roster'!$B:$B,MATCH(B201,'Agent Roster'!$A:$A,0)),"UNASSIGNED")</f>
        <v>Quarterly Direction &amp; Strategic Planning Agent</v>
      </c>
      <c r="D201" s="19" t="str">
        <f aca="false">IFERROR(INDEX('Agent Roster'!$D:$D,MATCH(B201,'Agent Roster'!$A:$A,0)),"UNASSIGNED")</f>
        <v>1 · Strategy Hub</v>
      </c>
      <c r="E201" s="19" t="s">
        <v>1998</v>
      </c>
      <c r="F201" s="19" t="s">
        <v>2003</v>
      </c>
      <c r="G201" s="19" t="s">
        <v>1315</v>
      </c>
      <c r="H201" s="19" t="s">
        <v>431</v>
      </c>
      <c r="I201" s="19" t="s">
        <v>2004</v>
      </c>
      <c r="J201" s="19" t="s">
        <v>2001</v>
      </c>
      <c r="K201" s="19" t="s">
        <v>1325</v>
      </c>
      <c r="L201" s="19" t="s">
        <v>1326</v>
      </c>
      <c r="M201" s="19" t="s">
        <v>428</v>
      </c>
      <c r="N201" s="19"/>
      <c r="O201" s="19" t="s">
        <v>1321</v>
      </c>
    </row>
    <row r="202" customFormat="false" ht="22.35" hidden="false" customHeight="false" outlineLevel="0" collapsed="false">
      <c r="A202" s="19" t="s">
        <v>2005</v>
      </c>
      <c r="B202" s="19" t="s">
        <v>428</v>
      </c>
      <c r="C202" s="19" t="str">
        <f aca="false">IFERROR(INDEX('Agent Roster'!$B:$B,MATCH(B202,'Agent Roster'!$A:$A,0)),"UNASSIGNED")</f>
        <v>Quarterly Direction &amp; Strategic Planning Agent</v>
      </c>
      <c r="D202" s="19" t="str">
        <f aca="false">IFERROR(INDEX('Agent Roster'!$D:$D,MATCH(B202,'Agent Roster'!$A:$A,0)),"UNASSIGNED")</f>
        <v>1 · Strategy Hub</v>
      </c>
      <c r="E202" s="19" t="s">
        <v>1998</v>
      </c>
      <c r="F202" s="19" t="s">
        <v>2006</v>
      </c>
      <c r="G202" s="19" t="s">
        <v>1315</v>
      </c>
      <c r="H202" s="19" t="s">
        <v>431</v>
      </c>
      <c r="I202" s="19" t="s">
        <v>2007</v>
      </c>
      <c r="J202" s="19" t="s">
        <v>2001</v>
      </c>
      <c r="K202" s="19" t="s">
        <v>1330</v>
      </c>
      <c r="L202" s="19" t="s">
        <v>1331</v>
      </c>
      <c r="M202" s="19" t="s">
        <v>428</v>
      </c>
      <c r="N202" s="19"/>
      <c r="O202" s="19" t="s">
        <v>1321</v>
      </c>
    </row>
    <row r="203" customFormat="false" ht="22.35" hidden="false" customHeight="false" outlineLevel="0" collapsed="false">
      <c r="A203" s="19" t="s">
        <v>2008</v>
      </c>
      <c r="B203" s="19" t="s">
        <v>428</v>
      </c>
      <c r="C203" s="19" t="str">
        <f aca="false">IFERROR(INDEX('Agent Roster'!$B:$B,MATCH(B203,'Agent Roster'!$A:$A,0)),"UNASSIGNED")</f>
        <v>Quarterly Direction &amp; Strategic Planning Agent</v>
      </c>
      <c r="D203" s="19" t="str">
        <f aca="false">IFERROR(INDEX('Agent Roster'!$D:$D,MATCH(B203,'Agent Roster'!$A:$A,0)),"UNASSIGNED")</f>
        <v>1 · Strategy Hub</v>
      </c>
      <c r="E203" s="19" t="s">
        <v>1998</v>
      </c>
      <c r="F203" s="19" t="s">
        <v>2009</v>
      </c>
      <c r="G203" s="19" t="s">
        <v>1315</v>
      </c>
      <c r="H203" s="19" t="s">
        <v>431</v>
      </c>
      <c r="I203" s="19" t="s">
        <v>2010</v>
      </c>
      <c r="J203" s="19" t="s">
        <v>2001</v>
      </c>
      <c r="K203" s="19" t="s">
        <v>1335</v>
      </c>
      <c r="L203" s="19" t="s">
        <v>1336</v>
      </c>
      <c r="M203" s="19" t="s">
        <v>428</v>
      </c>
      <c r="N203" s="19"/>
      <c r="O203" s="19" t="s">
        <v>1321</v>
      </c>
    </row>
    <row r="204" customFormat="false" ht="22.35" hidden="false" customHeight="false" outlineLevel="0" collapsed="false">
      <c r="A204" s="19" t="s">
        <v>2011</v>
      </c>
      <c r="B204" s="19" t="s">
        <v>428</v>
      </c>
      <c r="C204" s="19" t="str">
        <f aca="false">IFERROR(INDEX('Agent Roster'!$B:$B,MATCH(B204,'Agent Roster'!$A:$A,0)),"UNASSIGNED")</f>
        <v>Quarterly Direction &amp; Strategic Planning Agent</v>
      </c>
      <c r="D204" s="19" t="str">
        <f aca="false">IFERROR(INDEX('Agent Roster'!$D:$D,MATCH(B204,'Agent Roster'!$A:$A,0)),"UNASSIGNED")</f>
        <v>1 · Strategy Hub</v>
      </c>
      <c r="E204" s="19" t="s">
        <v>1998</v>
      </c>
      <c r="F204" s="19" t="s">
        <v>2012</v>
      </c>
      <c r="G204" s="19" t="s">
        <v>1315</v>
      </c>
      <c r="H204" s="19" t="s">
        <v>431</v>
      </c>
      <c r="I204" s="19" t="s">
        <v>2013</v>
      </c>
      <c r="J204" s="19" t="s">
        <v>2001</v>
      </c>
      <c r="K204" s="19" t="s">
        <v>1340</v>
      </c>
      <c r="L204" s="19" t="s">
        <v>1341</v>
      </c>
      <c r="M204" s="19" t="s">
        <v>428</v>
      </c>
      <c r="N204" s="19"/>
      <c r="O204" s="19" t="s">
        <v>1321</v>
      </c>
    </row>
    <row r="205" customFormat="false" ht="22.35" hidden="false" customHeight="false" outlineLevel="0" collapsed="false">
      <c r="A205" s="19" t="s">
        <v>2014</v>
      </c>
      <c r="B205" s="19" t="s">
        <v>428</v>
      </c>
      <c r="C205" s="19" t="str">
        <f aca="false">IFERROR(INDEX('Agent Roster'!$B:$B,MATCH(B205,'Agent Roster'!$A:$A,0)),"UNASSIGNED")</f>
        <v>Quarterly Direction &amp; Strategic Planning Agent</v>
      </c>
      <c r="D205" s="19" t="str">
        <f aca="false">IFERROR(INDEX('Agent Roster'!$D:$D,MATCH(B205,'Agent Roster'!$A:$A,0)),"UNASSIGNED")</f>
        <v>1 · Strategy Hub</v>
      </c>
      <c r="E205" s="19" t="s">
        <v>1998</v>
      </c>
      <c r="F205" s="19" t="s">
        <v>2015</v>
      </c>
      <c r="G205" s="19" t="s">
        <v>1315</v>
      </c>
      <c r="H205" s="19" t="s">
        <v>431</v>
      </c>
      <c r="I205" s="19" t="s">
        <v>2016</v>
      </c>
      <c r="J205" s="19" t="s">
        <v>2001</v>
      </c>
      <c r="K205" s="19" t="s">
        <v>1345</v>
      </c>
      <c r="L205" s="19" t="s">
        <v>1346</v>
      </c>
      <c r="M205" s="19" t="s">
        <v>428</v>
      </c>
      <c r="N205" s="19"/>
      <c r="O205" s="19" t="s">
        <v>1321</v>
      </c>
    </row>
    <row r="206" customFormat="false" ht="22.35" hidden="false" customHeight="false" outlineLevel="0" collapsed="false">
      <c r="A206" s="19" t="s">
        <v>2017</v>
      </c>
      <c r="B206" s="19" t="s">
        <v>428</v>
      </c>
      <c r="C206" s="19" t="str">
        <f aca="false">IFERROR(INDEX('Agent Roster'!$B:$B,MATCH(B206,'Agent Roster'!$A:$A,0)),"UNASSIGNED")</f>
        <v>Quarterly Direction &amp; Strategic Planning Agent</v>
      </c>
      <c r="D206" s="19" t="str">
        <f aca="false">IFERROR(INDEX('Agent Roster'!$D:$D,MATCH(B206,'Agent Roster'!$A:$A,0)),"UNASSIGNED")</f>
        <v>1 · Strategy Hub</v>
      </c>
      <c r="E206" s="19" t="s">
        <v>1998</v>
      </c>
      <c r="F206" s="19" t="s">
        <v>2018</v>
      </c>
      <c r="G206" s="19" t="s">
        <v>1315</v>
      </c>
      <c r="H206" s="19" t="s">
        <v>431</v>
      </c>
      <c r="I206" s="19" t="s">
        <v>2019</v>
      </c>
      <c r="J206" s="19" t="s">
        <v>2001</v>
      </c>
      <c r="K206" s="19" t="s">
        <v>1350</v>
      </c>
      <c r="L206" s="19" t="s">
        <v>1351</v>
      </c>
      <c r="M206" s="19" t="s">
        <v>428</v>
      </c>
      <c r="N206" s="19"/>
      <c r="O206" s="19" t="s">
        <v>1321</v>
      </c>
    </row>
    <row r="207" customFormat="false" ht="22.35" hidden="false" customHeight="false" outlineLevel="0" collapsed="false">
      <c r="A207" s="19" t="s">
        <v>2020</v>
      </c>
      <c r="B207" s="19" t="s">
        <v>428</v>
      </c>
      <c r="C207" s="19" t="str">
        <f aca="false">IFERROR(INDEX('Agent Roster'!$B:$B,MATCH(B207,'Agent Roster'!$A:$A,0)),"UNASSIGNED")</f>
        <v>Quarterly Direction &amp; Strategic Planning Agent</v>
      </c>
      <c r="D207" s="19" t="str">
        <f aca="false">IFERROR(INDEX('Agent Roster'!$D:$D,MATCH(B207,'Agent Roster'!$A:$A,0)),"UNASSIGNED")</f>
        <v>1 · Strategy Hub</v>
      </c>
      <c r="E207" s="19" t="s">
        <v>1998</v>
      </c>
      <c r="F207" s="19" t="s">
        <v>2021</v>
      </c>
      <c r="G207" s="19" t="s">
        <v>1315</v>
      </c>
      <c r="H207" s="19" t="s">
        <v>431</v>
      </c>
      <c r="I207" s="19" t="s">
        <v>2022</v>
      </c>
      <c r="J207" s="19" t="s">
        <v>2001</v>
      </c>
      <c r="K207" s="19" t="s">
        <v>1355</v>
      </c>
      <c r="L207" s="19" t="s">
        <v>1356</v>
      </c>
      <c r="M207" s="19" t="s">
        <v>428</v>
      </c>
      <c r="N207" s="19"/>
      <c r="O207" s="19" t="s">
        <v>1321</v>
      </c>
    </row>
    <row r="208" customFormat="false" ht="22.35" hidden="false" customHeight="false" outlineLevel="0" collapsed="false">
      <c r="A208" s="19" t="s">
        <v>2023</v>
      </c>
      <c r="B208" s="19" t="s">
        <v>428</v>
      </c>
      <c r="C208" s="19" t="str">
        <f aca="false">IFERROR(INDEX('Agent Roster'!$B:$B,MATCH(B208,'Agent Roster'!$A:$A,0)),"UNASSIGNED")</f>
        <v>Quarterly Direction &amp; Strategic Planning Agent</v>
      </c>
      <c r="D208" s="19" t="str">
        <f aca="false">IFERROR(INDEX('Agent Roster'!$D:$D,MATCH(B208,'Agent Roster'!$A:$A,0)),"UNASSIGNED")</f>
        <v>1 · Strategy Hub</v>
      </c>
      <c r="E208" s="19" t="s">
        <v>1998</v>
      </c>
      <c r="F208" s="19" t="s">
        <v>2024</v>
      </c>
      <c r="G208" s="19" t="s">
        <v>1315</v>
      </c>
      <c r="H208" s="19" t="s">
        <v>431</v>
      </c>
      <c r="I208" s="19" t="s">
        <v>2025</v>
      </c>
      <c r="J208" s="19" t="s">
        <v>2001</v>
      </c>
      <c r="K208" s="19" t="s">
        <v>1360</v>
      </c>
      <c r="L208" s="19" t="s">
        <v>1361</v>
      </c>
      <c r="M208" s="19" t="s">
        <v>428</v>
      </c>
      <c r="N208" s="19"/>
      <c r="O208" s="19" t="s">
        <v>1321</v>
      </c>
    </row>
    <row r="209" customFormat="false" ht="22.35" hidden="false" customHeight="false" outlineLevel="0" collapsed="false">
      <c r="A209" s="19" t="s">
        <v>2026</v>
      </c>
      <c r="B209" s="19" t="s">
        <v>428</v>
      </c>
      <c r="C209" s="19" t="str">
        <f aca="false">IFERROR(INDEX('Agent Roster'!$B:$B,MATCH(B209,'Agent Roster'!$A:$A,0)),"UNASSIGNED")</f>
        <v>Quarterly Direction &amp; Strategic Planning Agent</v>
      </c>
      <c r="D209" s="19" t="str">
        <f aca="false">IFERROR(INDEX('Agent Roster'!$D:$D,MATCH(B209,'Agent Roster'!$A:$A,0)),"UNASSIGNED")</f>
        <v>1 · Strategy Hub</v>
      </c>
      <c r="E209" s="19" t="s">
        <v>1998</v>
      </c>
      <c r="F209" s="19" t="s">
        <v>2027</v>
      </c>
      <c r="G209" s="19" t="s">
        <v>1315</v>
      </c>
      <c r="H209" s="19" t="s">
        <v>431</v>
      </c>
      <c r="I209" s="19" t="s">
        <v>2028</v>
      </c>
      <c r="J209" s="19" t="s">
        <v>2001</v>
      </c>
      <c r="K209" s="19" t="s">
        <v>1365</v>
      </c>
      <c r="L209" s="19" t="s">
        <v>1376</v>
      </c>
      <c r="M209" s="19" t="s">
        <v>1377</v>
      </c>
      <c r="N209" s="19"/>
      <c r="O209" s="19" t="s">
        <v>1321</v>
      </c>
    </row>
    <row r="210" customFormat="false" ht="22.35" hidden="false" customHeight="false" outlineLevel="0" collapsed="false">
      <c r="A210" s="19" t="s">
        <v>2029</v>
      </c>
      <c r="B210" s="19" t="s">
        <v>137</v>
      </c>
      <c r="C210" s="19" t="str">
        <f aca="false">IFERROR(INDEX('Agent Roster'!$B:$B,MATCH(B210,'Agent Roster'!$A:$A,0)),"UNASSIGNED")</f>
        <v>Founder Performance Agent</v>
      </c>
      <c r="D210" s="19" t="str">
        <f aca="false">IFERROR(INDEX('Agent Roster'!$D:$D,MATCH(B210,'Agent Roster'!$A:$A,0)),"UNASSIGNED")</f>
        <v>Governance &amp; Meta-Tier</v>
      </c>
      <c r="E210" s="19" t="s">
        <v>2030</v>
      </c>
      <c r="F210" s="19" t="s">
        <v>2031</v>
      </c>
      <c r="G210" s="19" t="s">
        <v>1315</v>
      </c>
      <c r="H210" s="19" t="s">
        <v>2032</v>
      </c>
      <c r="I210" s="19" t="s">
        <v>2033</v>
      </c>
      <c r="J210" s="19" t="s">
        <v>690</v>
      </c>
      <c r="K210" s="19" t="s">
        <v>1319</v>
      </c>
      <c r="L210" s="19" t="s">
        <v>1320</v>
      </c>
      <c r="M210" s="19" t="s">
        <v>137</v>
      </c>
      <c r="N210" s="19"/>
      <c r="O210" s="19" t="s">
        <v>1321</v>
      </c>
    </row>
    <row r="211" customFormat="false" ht="22.35" hidden="false" customHeight="false" outlineLevel="0" collapsed="false">
      <c r="A211" s="19" t="s">
        <v>2034</v>
      </c>
      <c r="B211" s="19" t="s">
        <v>137</v>
      </c>
      <c r="C211" s="19" t="str">
        <f aca="false">IFERROR(INDEX('Agent Roster'!$B:$B,MATCH(B211,'Agent Roster'!$A:$A,0)),"UNASSIGNED")</f>
        <v>Founder Performance Agent</v>
      </c>
      <c r="D211" s="19" t="str">
        <f aca="false">IFERROR(INDEX('Agent Roster'!$D:$D,MATCH(B211,'Agent Roster'!$A:$A,0)),"UNASSIGNED")</f>
        <v>Governance &amp; Meta-Tier</v>
      </c>
      <c r="E211" s="19" t="s">
        <v>2030</v>
      </c>
      <c r="F211" s="19" t="s">
        <v>2035</v>
      </c>
      <c r="G211" s="19" t="s">
        <v>1315</v>
      </c>
      <c r="H211" s="19" t="s">
        <v>2032</v>
      </c>
      <c r="I211" s="19" t="s">
        <v>2036</v>
      </c>
      <c r="J211" s="19" t="s">
        <v>690</v>
      </c>
      <c r="K211" s="19" t="s">
        <v>1325</v>
      </c>
      <c r="L211" s="19" t="s">
        <v>1326</v>
      </c>
      <c r="M211" s="19" t="s">
        <v>137</v>
      </c>
      <c r="N211" s="19"/>
      <c r="O211" s="19" t="s">
        <v>1321</v>
      </c>
    </row>
    <row r="212" customFormat="false" ht="22.35" hidden="false" customHeight="false" outlineLevel="0" collapsed="false">
      <c r="A212" s="19" t="s">
        <v>2037</v>
      </c>
      <c r="B212" s="19" t="s">
        <v>137</v>
      </c>
      <c r="C212" s="19" t="str">
        <f aca="false">IFERROR(INDEX('Agent Roster'!$B:$B,MATCH(B212,'Agent Roster'!$A:$A,0)),"UNASSIGNED")</f>
        <v>Founder Performance Agent</v>
      </c>
      <c r="D212" s="19" t="str">
        <f aca="false">IFERROR(INDEX('Agent Roster'!$D:$D,MATCH(B212,'Agent Roster'!$A:$A,0)),"UNASSIGNED")</f>
        <v>Governance &amp; Meta-Tier</v>
      </c>
      <c r="E212" s="19" t="s">
        <v>2030</v>
      </c>
      <c r="F212" s="19" t="s">
        <v>2038</v>
      </c>
      <c r="G212" s="19" t="s">
        <v>1315</v>
      </c>
      <c r="H212" s="19" t="s">
        <v>2032</v>
      </c>
      <c r="I212" s="19" t="s">
        <v>2039</v>
      </c>
      <c r="J212" s="19" t="s">
        <v>690</v>
      </c>
      <c r="K212" s="19" t="s">
        <v>1330</v>
      </c>
      <c r="L212" s="19" t="s">
        <v>1331</v>
      </c>
      <c r="M212" s="19" t="s">
        <v>137</v>
      </c>
      <c r="N212" s="19"/>
      <c r="O212" s="19" t="s">
        <v>1321</v>
      </c>
    </row>
    <row r="213" customFormat="false" ht="22.35" hidden="false" customHeight="false" outlineLevel="0" collapsed="false">
      <c r="A213" s="19" t="s">
        <v>2040</v>
      </c>
      <c r="B213" s="19" t="s">
        <v>137</v>
      </c>
      <c r="C213" s="19" t="str">
        <f aca="false">IFERROR(INDEX('Agent Roster'!$B:$B,MATCH(B213,'Agent Roster'!$A:$A,0)),"UNASSIGNED")</f>
        <v>Founder Performance Agent</v>
      </c>
      <c r="D213" s="19" t="str">
        <f aca="false">IFERROR(INDEX('Agent Roster'!$D:$D,MATCH(B213,'Agent Roster'!$A:$A,0)),"UNASSIGNED")</f>
        <v>Governance &amp; Meta-Tier</v>
      </c>
      <c r="E213" s="19" t="s">
        <v>2030</v>
      </c>
      <c r="F213" s="19" t="s">
        <v>2041</v>
      </c>
      <c r="G213" s="19" t="s">
        <v>1315</v>
      </c>
      <c r="H213" s="19" t="s">
        <v>2032</v>
      </c>
      <c r="I213" s="19" t="s">
        <v>2042</v>
      </c>
      <c r="J213" s="19" t="s">
        <v>690</v>
      </c>
      <c r="K213" s="19" t="s">
        <v>1335</v>
      </c>
      <c r="L213" s="19" t="s">
        <v>1336</v>
      </c>
      <c r="M213" s="19" t="s">
        <v>137</v>
      </c>
      <c r="N213" s="19"/>
      <c r="O213" s="19" t="s">
        <v>1321</v>
      </c>
    </row>
    <row r="214" customFormat="false" ht="22.35" hidden="false" customHeight="false" outlineLevel="0" collapsed="false">
      <c r="A214" s="19" t="s">
        <v>2043</v>
      </c>
      <c r="B214" s="19" t="s">
        <v>137</v>
      </c>
      <c r="C214" s="19" t="str">
        <f aca="false">IFERROR(INDEX('Agent Roster'!$B:$B,MATCH(B214,'Agent Roster'!$A:$A,0)),"UNASSIGNED")</f>
        <v>Founder Performance Agent</v>
      </c>
      <c r="D214" s="19" t="str">
        <f aca="false">IFERROR(INDEX('Agent Roster'!$D:$D,MATCH(B214,'Agent Roster'!$A:$A,0)),"UNASSIGNED")</f>
        <v>Governance &amp; Meta-Tier</v>
      </c>
      <c r="E214" s="19" t="s">
        <v>2030</v>
      </c>
      <c r="F214" s="19" t="s">
        <v>2044</v>
      </c>
      <c r="G214" s="19" t="s">
        <v>1315</v>
      </c>
      <c r="H214" s="19" t="s">
        <v>2032</v>
      </c>
      <c r="I214" s="19" t="s">
        <v>2045</v>
      </c>
      <c r="J214" s="19" t="s">
        <v>690</v>
      </c>
      <c r="K214" s="19" t="s">
        <v>1340</v>
      </c>
      <c r="L214" s="19" t="s">
        <v>1341</v>
      </c>
      <c r="M214" s="19" t="s">
        <v>137</v>
      </c>
      <c r="N214" s="19"/>
      <c r="O214" s="19" t="s">
        <v>1321</v>
      </c>
    </row>
    <row r="215" customFormat="false" ht="22.35" hidden="false" customHeight="false" outlineLevel="0" collapsed="false">
      <c r="A215" s="19" t="s">
        <v>2046</v>
      </c>
      <c r="B215" s="19" t="s">
        <v>137</v>
      </c>
      <c r="C215" s="19" t="str">
        <f aca="false">IFERROR(INDEX('Agent Roster'!$B:$B,MATCH(B215,'Agent Roster'!$A:$A,0)),"UNASSIGNED")</f>
        <v>Founder Performance Agent</v>
      </c>
      <c r="D215" s="19" t="str">
        <f aca="false">IFERROR(INDEX('Agent Roster'!$D:$D,MATCH(B215,'Agent Roster'!$A:$A,0)),"UNASSIGNED")</f>
        <v>Governance &amp; Meta-Tier</v>
      </c>
      <c r="E215" s="19" t="s">
        <v>2030</v>
      </c>
      <c r="F215" s="19" t="s">
        <v>2047</v>
      </c>
      <c r="G215" s="19" t="s">
        <v>1315</v>
      </c>
      <c r="H215" s="19" t="s">
        <v>2032</v>
      </c>
      <c r="I215" s="19" t="s">
        <v>2048</v>
      </c>
      <c r="J215" s="19" t="s">
        <v>690</v>
      </c>
      <c r="K215" s="19" t="s">
        <v>1345</v>
      </c>
      <c r="L215" s="19" t="s">
        <v>1346</v>
      </c>
      <c r="M215" s="19" t="s">
        <v>137</v>
      </c>
      <c r="N215" s="19"/>
      <c r="O215" s="19" t="s">
        <v>1321</v>
      </c>
    </row>
    <row r="216" customFormat="false" ht="22.35" hidden="false" customHeight="false" outlineLevel="0" collapsed="false">
      <c r="A216" s="19" t="s">
        <v>2049</v>
      </c>
      <c r="B216" s="19" t="s">
        <v>137</v>
      </c>
      <c r="C216" s="19" t="str">
        <f aca="false">IFERROR(INDEX('Agent Roster'!$B:$B,MATCH(B216,'Agent Roster'!$A:$A,0)),"UNASSIGNED")</f>
        <v>Founder Performance Agent</v>
      </c>
      <c r="D216" s="19" t="str">
        <f aca="false">IFERROR(INDEX('Agent Roster'!$D:$D,MATCH(B216,'Agent Roster'!$A:$A,0)),"UNASSIGNED")</f>
        <v>Governance &amp; Meta-Tier</v>
      </c>
      <c r="E216" s="19" t="s">
        <v>2030</v>
      </c>
      <c r="F216" s="19" t="s">
        <v>2050</v>
      </c>
      <c r="G216" s="19" t="s">
        <v>1315</v>
      </c>
      <c r="H216" s="19" t="s">
        <v>2032</v>
      </c>
      <c r="I216" s="19" t="s">
        <v>2051</v>
      </c>
      <c r="J216" s="19" t="s">
        <v>690</v>
      </c>
      <c r="K216" s="19" t="s">
        <v>1350</v>
      </c>
      <c r="L216" s="19" t="s">
        <v>1351</v>
      </c>
      <c r="M216" s="19" t="s">
        <v>137</v>
      </c>
      <c r="N216" s="19"/>
      <c r="O216" s="19" t="s">
        <v>1321</v>
      </c>
    </row>
    <row r="217" customFormat="false" ht="22.35" hidden="false" customHeight="false" outlineLevel="0" collapsed="false">
      <c r="A217" s="19" t="s">
        <v>2052</v>
      </c>
      <c r="B217" s="19" t="s">
        <v>137</v>
      </c>
      <c r="C217" s="19" t="str">
        <f aca="false">IFERROR(INDEX('Agent Roster'!$B:$B,MATCH(B217,'Agent Roster'!$A:$A,0)),"UNASSIGNED")</f>
        <v>Founder Performance Agent</v>
      </c>
      <c r="D217" s="19" t="str">
        <f aca="false">IFERROR(INDEX('Agent Roster'!$D:$D,MATCH(B217,'Agent Roster'!$A:$A,0)),"UNASSIGNED")</f>
        <v>Governance &amp; Meta-Tier</v>
      </c>
      <c r="E217" s="19" t="s">
        <v>2030</v>
      </c>
      <c r="F217" s="19" t="s">
        <v>2053</v>
      </c>
      <c r="G217" s="19" t="s">
        <v>1315</v>
      </c>
      <c r="H217" s="19" t="s">
        <v>2032</v>
      </c>
      <c r="I217" s="19" t="s">
        <v>2054</v>
      </c>
      <c r="J217" s="19" t="s">
        <v>690</v>
      </c>
      <c r="K217" s="19" t="s">
        <v>1355</v>
      </c>
      <c r="L217" s="19" t="s">
        <v>1376</v>
      </c>
      <c r="M217" s="19" t="s">
        <v>1377</v>
      </c>
      <c r="N217" s="19"/>
      <c r="O217" s="19" t="s">
        <v>1321</v>
      </c>
    </row>
    <row r="218" customFormat="false" ht="22.35" hidden="false" customHeight="false" outlineLevel="0" collapsed="false">
      <c r="A218" s="19" t="s">
        <v>2055</v>
      </c>
      <c r="B218" s="19" t="s">
        <v>47</v>
      </c>
      <c r="C218" s="19" t="str">
        <f aca="false">IFERROR(INDEX('Agent Roster'!$B:$B,MATCH(B218,'Agent Roster'!$A:$A,0)),"UNASSIGNED")</f>
        <v>Founder / Operator (HUMAN)</v>
      </c>
      <c r="D218" s="19" t="str">
        <f aca="false">IFERROR(INDEX('Agent Roster'!$D:$D,MATCH(B218,'Agent Roster'!$A:$A,0)),"UNASSIGNED")</f>
        <v>Governance &amp; Meta-Tier</v>
      </c>
      <c r="E218" s="19" t="s">
        <v>2056</v>
      </c>
      <c r="F218" s="19" t="s">
        <v>2057</v>
      </c>
      <c r="G218" s="19" t="s">
        <v>1315</v>
      </c>
      <c r="H218" s="19" t="s">
        <v>2058</v>
      </c>
      <c r="I218" s="19" t="s">
        <v>2059</v>
      </c>
      <c r="J218" s="19" t="s">
        <v>51</v>
      </c>
      <c r="K218" s="19" t="s">
        <v>1319</v>
      </c>
      <c r="L218" s="19" t="s">
        <v>1320</v>
      </c>
      <c r="M218" s="19" t="s">
        <v>47</v>
      </c>
      <c r="N218" s="19" t="s">
        <v>1657</v>
      </c>
      <c r="O218" s="19" t="s">
        <v>2060</v>
      </c>
    </row>
    <row r="219" customFormat="false" ht="22.35" hidden="false" customHeight="false" outlineLevel="0" collapsed="false">
      <c r="A219" s="19" t="s">
        <v>2061</v>
      </c>
      <c r="B219" s="19" t="s">
        <v>47</v>
      </c>
      <c r="C219" s="19" t="str">
        <f aca="false">IFERROR(INDEX('Agent Roster'!$B:$B,MATCH(B219,'Agent Roster'!$A:$A,0)),"UNASSIGNED")</f>
        <v>Founder / Operator (HUMAN)</v>
      </c>
      <c r="D219" s="19" t="str">
        <f aca="false">IFERROR(INDEX('Agent Roster'!$D:$D,MATCH(B219,'Agent Roster'!$A:$A,0)),"UNASSIGNED")</f>
        <v>Governance &amp; Meta-Tier</v>
      </c>
      <c r="E219" s="19" t="s">
        <v>2056</v>
      </c>
      <c r="F219" s="19" t="s">
        <v>2062</v>
      </c>
      <c r="G219" s="19" t="s">
        <v>1315</v>
      </c>
      <c r="H219" s="19" t="s">
        <v>2058</v>
      </c>
      <c r="I219" s="19" t="s">
        <v>2063</v>
      </c>
      <c r="J219" s="19" t="s">
        <v>51</v>
      </c>
      <c r="K219" s="19" t="s">
        <v>1325</v>
      </c>
      <c r="L219" s="19" t="s">
        <v>1326</v>
      </c>
      <c r="M219" s="19" t="s">
        <v>47</v>
      </c>
      <c r="N219" s="19" t="s">
        <v>1657</v>
      </c>
      <c r="O219" s="19" t="s">
        <v>2060</v>
      </c>
    </row>
    <row r="220" customFormat="false" ht="22.35" hidden="false" customHeight="false" outlineLevel="0" collapsed="false">
      <c r="A220" s="19" t="s">
        <v>2064</v>
      </c>
      <c r="B220" s="19" t="s">
        <v>47</v>
      </c>
      <c r="C220" s="19" t="str">
        <f aca="false">IFERROR(INDEX('Agent Roster'!$B:$B,MATCH(B220,'Agent Roster'!$A:$A,0)),"UNASSIGNED")</f>
        <v>Founder / Operator (HUMAN)</v>
      </c>
      <c r="D220" s="19" t="str">
        <f aca="false">IFERROR(INDEX('Agent Roster'!$D:$D,MATCH(B220,'Agent Roster'!$A:$A,0)),"UNASSIGNED")</f>
        <v>Governance &amp; Meta-Tier</v>
      </c>
      <c r="E220" s="19" t="s">
        <v>2056</v>
      </c>
      <c r="F220" s="19" t="s">
        <v>2065</v>
      </c>
      <c r="G220" s="19" t="s">
        <v>1315</v>
      </c>
      <c r="H220" s="19" t="s">
        <v>2058</v>
      </c>
      <c r="I220" s="19" t="s">
        <v>2066</v>
      </c>
      <c r="J220" s="19" t="s">
        <v>51</v>
      </c>
      <c r="K220" s="19" t="s">
        <v>1330</v>
      </c>
      <c r="L220" s="19" t="s">
        <v>1331</v>
      </c>
      <c r="M220" s="19" t="s">
        <v>47</v>
      </c>
      <c r="N220" s="19" t="s">
        <v>1657</v>
      </c>
      <c r="O220" s="19" t="s">
        <v>2060</v>
      </c>
    </row>
    <row r="221" customFormat="false" ht="22.35" hidden="false" customHeight="false" outlineLevel="0" collapsed="false">
      <c r="A221" s="19" t="s">
        <v>2067</v>
      </c>
      <c r="B221" s="19" t="s">
        <v>47</v>
      </c>
      <c r="C221" s="19" t="str">
        <f aca="false">IFERROR(INDEX('Agent Roster'!$B:$B,MATCH(B221,'Agent Roster'!$A:$A,0)),"UNASSIGNED")</f>
        <v>Founder / Operator (HUMAN)</v>
      </c>
      <c r="D221" s="19" t="str">
        <f aca="false">IFERROR(INDEX('Agent Roster'!$D:$D,MATCH(B221,'Agent Roster'!$A:$A,0)),"UNASSIGNED")</f>
        <v>Governance &amp; Meta-Tier</v>
      </c>
      <c r="E221" s="19" t="s">
        <v>2056</v>
      </c>
      <c r="F221" s="19" t="s">
        <v>2068</v>
      </c>
      <c r="G221" s="19" t="s">
        <v>1315</v>
      </c>
      <c r="H221" s="19" t="s">
        <v>2058</v>
      </c>
      <c r="I221" s="19" t="s">
        <v>2069</v>
      </c>
      <c r="J221" s="19" t="s">
        <v>51</v>
      </c>
      <c r="K221" s="19" t="s">
        <v>1335</v>
      </c>
      <c r="L221" s="19" t="s">
        <v>1336</v>
      </c>
      <c r="M221" s="19" t="s">
        <v>47</v>
      </c>
      <c r="N221" s="19" t="s">
        <v>1657</v>
      </c>
      <c r="O221" s="19" t="s">
        <v>2060</v>
      </c>
    </row>
    <row r="222" customFormat="false" ht="22.35" hidden="false" customHeight="false" outlineLevel="0" collapsed="false">
      <c r="A222" s="19" t="s">
        <v>2070</v>
      </c>
      <c r="B222" s="19" t="s">
        <v>47</v>
      </c>
      <c r="C222" s="19" t="str">
        <f aca="false">IFERROR(INDEX('Agent Roster'!$B:$B,MATCH(B222,'Agent Roster'!$A:$A,0)),"UNASSIGNED")</f>
        <v>Founder / Operator (HUMAN)</v>
      </c>
      <c r="D222" s="19" t="str">
        <f aca="false">IFERROR(INDEX('Agent Roster'!$D:$D,MATCH(B222,'Agent Roster'!$A:$A,0)),"UNASSIGNED")</f>
        <v>Governance &amp; Meta-Tier</v>
      </c>
      <c r="E222" s="19" t="s">
        <v>2056</v>
      </c>
      <c r="F222" s="19" t="s">
        <v>2071</v>
      </c>
      <c r="G222" s="19" t="s">
        <v>1315</v>
      </c>
      <c r="H222" s="19" t="s">
        <v>2058</v>
      </c>
      <c r="I222" s="19" t="s">
        <v>2072</v>
      </c>
      <c r="J222" s="19" t="s">
        <v>51</v>
      </c>
      <c r="K222" s="19" t="s">
        <v>1340</v>
      </c>
      <c r="L222" s="19" t="s">
        <v>1341</v>
      </c>
      <c r="M222" s="19" t="s">
        <v>47</v>
      </c>
      <c r="N222" s="19" t="s">
        <v>1657</v>
      </c>
      <c r="O222" s="19" t="s">
        <v>2060</v>
      </c>
    </row>
    <row r="223" customFormat="false" ht="22.35" hidden="false" customHeight="false" outlineLevel="0" collapsed="false">
      <c r="A223" s="19" t="s">
        <v>2073</v>
      </c>
      <c r="B223" s="19" t="s">
        <v>47</v>
      </c>
      <c r="C223" s="19" t="str">
        <f aca="false">IFERROR(INDEX('Agent Roster'!$B:$B,MATCH(B223,'Agent Roster'!$A:$A,0)),"UNASSIGNED")</f>
        <v>Founder / Operator (HUMAN)</v>
      </c>
      <c r="D223" s="19" t="str">
        <f aca="false">IFERROR(INDEX('Agent Roster'!$D:$D,MATCH(B223,'Agent Roster'!$A:$A,0)),"UNASSIGNED")</f>
        <v>Governance &amp; Meta-Tier</v>
      </c>
      <c r="E223" s="19" t="s">
        <v>2056</v>
      </c>
      <c r="F223" s="19" t="s">
        <v>2074</v>
      </c>
      <c r="G223" s="19" t="s">
        <v>1315</v>
      </c>
      <c r="H223" s="19" t="s">
        <v>2058</v>
      </c>
      <c r="I223" s="19" t="s">
        <v>2075</v>
      </c>
      <c r="J223" s="19" t="s">
        <v>51</v>
      </c>
      <c r="K223" s="19" t="s">
        <v>1345</v>
      </c>
      <c r="L223" s="19" t="s">
        <v>1346</v>
      </c>
      <c r="M223" s="19" t="s">
        <v>47</v>
      </c>
      <c r="N223" s="19" t="s">
        <v>1657</v>
      </c>
      <c r="O223" s="19" t="s">
        <v>2060</v>
      </c>
    </row>
    <row r="224" customFormat="false" ht="22.35" hidden="false" customHeight="false" outlineLevel="0" collapsed="false">
      <c r="A224" s="19" t="s">
        <v>2076</v>
      </c>
      <c r="B224" s="19" t="s">
        <v>47</v>
      </c>
      <c r="C224" s="19" t="str">
        <f aca="false">IFERROR(INDEX('Agent Roster'!$B:$B,MATCH(B224,'Agent Roster'!$A:$A,0)),"UNASSIGNED")</f>
        <v>Founder / Operator (HUMAN)</v>
      </c>
      <c r="D224" s="19" t="str">
        <f aca="false">IFERROR(INDEX('Agent Roster'!$D:$D,MATCH(B224,'Agent Roster'!$A:$A,0)),"UNASSIGNED")</f>
        <v>Governance &amp; Meta-Tier</v>
      </c>
      <c r="E224" s="19" t="s">
        <v>2056</v>
      </c>
      <c r="F224" s="19" t="s">
        <v>2077</v>
      </c>
      <c r="G224" s="19" t="s">
        <v>1315</v>
      </c>
      <c r="H224" s="19" t="s">
        <v>2058</v>
      </c>
      <c r="I224" s="19" t="s">
        <v>2078</v>
      </c>
      <c r="J224" s="19" t="s">
        <v>51</v>
      </c>
      <c r="K224" s="19" t="s">
        <v>1350</v>
      </c>
      <c r="L224" s="19" t="s">
        <v>1351</v>
      </c>
      <c r="M224" s="19" t="s">
        <v>47</v>
      </c>
      <c r="N224" s="19" t="s">
        <v>1657</v>
      </c>
      <c r="O224" s="19" t="s">
        <v>2060</v>
      </c>
    </row>
    <row r="225" customFormat="false" ht="22.35" hidden="false" customHeight="false" outlineLevel="0" collapsed="false">
      <c r="A225" s="19" t="s">
        <v>2079</v>
      </c>
      <c r="B225" s="19" t="s">
        <v>47</v>
      </c>
      <c r="C225" s="19" t="str">
        <f aca="false">IFERROR(INDEX('Agent Roster'!$B:$B,MATCH(B225,'Agent Roster'!$A:$A,0)),"UNASSIGNED")</f>
        <v>Founder / Operator (HUMAN)</v>
      </c>
      <c r="D225" s="19" t="str">
        <f aca="false">IFERROR(INDEX('Agent Roster'!$D:$D,MATCH(B225,'Agent Roster'!$A:$A,0)),"UNASSIGNED")</f>
        <v>Governance &amp; Meta-Tier</v>
      </c>
      <c r="E225" s="19" t="s">
        <v>2056</v>
      </c>
      <c r="F225" s="19" t="s">
        <v>2080</v>
      </c>
      <c r="G225" s="19" t="s">
        <v>1315</v>
      </c>
      <c r="H225" s="19" t="s">
        <v>2058</v>
      </c>
      <c r="I225" s="19" t="s">
        <v>2081</v>
      </c>
      <c r="J225" s="19" t="s">
        <v>51</v>
      </c>
      <c r="K225" s="19" t="s">
        <v>1355</v>
      </c>
      <c r="L225" s="19" t="s">
        <v>1356</v>
      </c>
      <c r="M225" s="19" t="s">
        <v>47</v>
      </c>
      <c r="N225" s="19" t="s">
        <v>1657</v>
      </c>
      <c r="O225" s="19" t="s">
        <v>2060</v>
      </c>
    </row>
    <row r="226" customFormat="false" ht="22.35" hidden="false" customHeight="false" outlineLevel="0" collapsed="false">
      <c r="A226" s="19" t="s">
        <v>2082</v>
      </c>
      <c r="B226" s="19" t="s">
        <v>47</v>
      </c>
      <c r="C226" s="19" t="str">
        <f aca="false">IFERROR(INDEX('Agent Roster'!$B:$B,MATCH(B226,'Agent Roster'!$A:$A,0)),"UNASSIGNED")</f>
        <v>Founder / Operator (HUMAN)</v>
      </c>
      <c r="D226" s="19" t="str">
        <f aca="false">IFERROR(INDEX('Agent Roster'!$D:$D,MATCH(B226,'Agent Roster'!$A:$A,0)),"UNASSIGNED")</f>
        <v>Governance &amp; Meta-Tier</v>
      </c>
      <c r="E226" s="19" t="s">
        <v>2056</v>
      </c>
      <c r="F226" s="19" t="s">
        <v>2083</v>
      </c>
      <c r="G226" s="19" t="s">
        <v>1315</v>
      </c>
      <c r="H226" s="19" t="s">
        <v>2058</v>
      </c>
      <c r="I226" s="19" t="s">
        <v>2084</v>
      </c>
      <c r="J226" s="19" t="s">
        <v>51</v>
      </c>
      <c r="K226" s="19" t="s">
        <v>1360</v>
      </c>
      <c r="L226" s="19" t="s">
        <v>1376</v>
      </c>
      <c r="M226" s="19" t="s">
        <v>1377</v>
      </c>
      <c r="N226" s="19" t="s">
        <v>1657</v>
      </c>
      <c r="O226" s="19" t="s">
        <v>2060</v>
      </c>
    </row>
    <row r="227" customFormat="false" ht="22.35" hidden="false" customHeight="false" outlineLevel="0" collapsed="false">
      <c r="A227" s="19" t="s">
        <v>2085</v>
      </c>
      <c r="B227" s="19" t="s">
        <v>47</v>
      </c>
      <c r="C227" s="19" t="str">
        <f aca="false">IFERROR(INDEX('Agent Roster'!$B:$B,MATCH(B227,'Agent Roster'!$A:$A,0)),"UNASSIGNED")</f>
        <v>Founder / Operator (HUMAN)</v>
      </c>
      <c r="D227" s="19" t="str">
        <f aca="false">IFERROR(INDEX('Agent Roster'!$D:$D,MATCH(B227,'Agent Roster'!$A:$A,0)),"UNASSIGNED")</f>
        <v>Governance &amp; Meta-Tier</v>
      </c>
      <c r="E227" s="19" t="s">
        <v>2086</v>
      </c>
      <c r="F227" s="19" t="s">
        <v>2087</v>
      </c>
      <c r="G227" s="19" t="s">
        <v>1315</v>
      </c>
      <c r="H227" s="19" t="s">
        <v>2088</v>
      </c>
      <c r="I227" s="19" t="s">
        <v>2089</v>
      </c>
      <c r="J227" s="19" t="s">
        <v>51</v>
      </c>
      <c r="K227" s="19" t="s">
        <v>1319</v>
      </c>
      <c r="L227" s="19" t="s">
        <v>1320</v>
      </c>
      <c r="M227" s="19" t="s">
        <v>47</v>
      </c>
      <c r="N227" s="19" t="s">
        <v>1657</v>
      </c>
      <c r="O227" s="19" t="s">
        <v>2060</v>
      </c>
    </row>
    <row r="228" customFormat="false" ht="32.8" hidden="false" customHeight="false" outlineLevel="0" collapsed="false">
      <c r="A228" s="19" t="s">
        <v>2090</v>
      </c>
      <c r="B228" s="19" t="s">
        <v>47</v>
      </c>
      <c r="C228" s="19" t="str">
        <f aca="false">IFERROR(INDEX('Agent Roster'!$B:$B,MATCH(B228,'Agent Roster'!$A:$A,0)),"UNASSIGNED")</f>
        <v>Founder / Operator (HUMAN)</v>
      </c>
      <c r="D228" s="19" t="str">
        <f aca="false">IFERROR(INDEX('Agent Roster'!$D:$D,MATCH(B228,'Agent Roster'!$A:$A,0)),"UNASSIGNED")</f>
        <v>Governance &amp; Meta-Tier</v>
      </c>
      <c r="E228" s="19" t="s">
        <v>2086</v>
      </c>
      <c r="F228" s="19" t="s">
        <v>2091</v>
      </c>
      <c r="G228" s="19" t="s">
        <v>1315</v>
      </c>
      <c r="H228" s="19" t="s">
        <v>2088</v>
      </c>
      <c r="I228" s="19" t="s">
        <v>2092</v>
      </c>
      <c r="J228" s="19" t="s">
        <v>51</v>
      </c>
      <c r="K228" s="19" t="s">
        <v>1325</v>
      </c>
      <c r="L228" s="19" t="s">
        <v>1326</v>
      </c>
      <c r="M228" s="19" t="s">
        <v>47</v>
      </c>
      <c r="N228" s="19" t="s">
        <v>1657</v>
      </c>
      <c r="O228" s="19" t="s">
        <v>2060</v>
      </c>
    </row>
    <row r="229" customFormat="false" ht="22.35" hidden="false" customHeight="false" outlineLevel="0" collapsed="false">
      <c r="A229" s="19" t="s">
        <v>2093</v>
      </c>
      <c r="B229" s="19" t="s">
        <v>47</v>
      </c>
      <c r="C229" s="19" t="str">
        <f aca="false">IFERROR(INDEX('Agent Roster'!$B:$B,MATCH(B229,'Agent Roster'!$A:$A,0)),"UNASSIGNED")</f>
        <v>Founder / Operator (HUMAN)</v>
      </c>
      <c r="D229" s="19" t="str">
        <f aca="false">IFERROR(INDEX('Agent Roster'!$D:$D,MATCH(B229,'Agent Roster'!$A:$A,0)),"UNASSIGNED")</f>
        <v>Governance &amp; Meta-Tier</v>
      </c>
      <c r="E229" s="19" t="s">
        <v>2086</v>
      </c>
      <c r="F229" s="19" t="s">
        <v>2094</v>
      </c>
      <c r="G229" s="19" t="s">
        <v>1315</v>
      </c>
      <c r="H229" s="19" t="s">
        <v>2088</v>
      </c>
      <c r="I229" s="19" t="s">
        <v>2095</v>
      </c>
      <c r="J229" s="19" t="s">
        <v>51</v>
      </c>
      <c r="K229" s="19" t="s">
        <v>1330</v>
      </c>
      <c r="L229" s="19" t="s">
        <v>1331</v>
      </c>
      <c r="M229" s="19" t="s">
        <v>47</v>
      </c>
      <c r="N229" s="19" t="s">
        <v>1657</v>
      </c>
      <c r="O229" s="19" t="s">
        <v>2060</v>
      </c>
    </row>
    <row r="230" customFormat="false" ht="22.35" hidden="false" customHeight="false" outlineLevel="0" collapsed="false">
      <c r="A230" s="19" t="s">
        <v>2096</v>
      </c>
      <c r="B230" s="19" t="s">
        <v>47</v>
      </c>
      <c r="C230" s="19" t="str">
        <f aca="false">IFERROR(INDEX('Agent Roster'!$B:$B,MATCH(B230,'Agent Roster'!$A:$A,0)),"UNASSIGNED")</f>
        <v>Founder / Operator (HUMAN)</v>
      </c>
      <c r="D230" s="19" t="str">
        <f aca="false">IFERROR(INDEX('Agent Roster'!$D:$D,MATCH(B230,'Agent Roster'!$A:$A,0)),"UNASSIGNED")</f>
        <v>Governance &amp; Meta-Tier</v>
      </c>
      <c r="E230" s="19" t="s">
        <v>2086</v>
      </c>
      <c r="F230" s="19" t="s">
        <v>2097</v>
      </c>
      <c r="G230" s="19" t="s">
        <v>1315</v>
      </c>
      <c r="H230" s="19" t="s">
        <v>2088</v>
      </c>
      <c r="I230" s="19" t="s">
        <v>2098</v>
      </c>
      <c r="J230" s="19" t="s">
        <v>51</v>
      </c>
      <c r="K230" s="19" t="s">
        <v>1335</v>
      </c>
      <c r="L230" s="19" t="s">
        <v>1336</v>
      </c>
      <c r="M230" s="19" t="s">
        <v>47</v>
      </c>
      <c r="N230" s="19" t="s">
        <v>1657</v>
      </c>
      <c r="O230" s="19" t="s">
        <v>2060</v>
      </c>
    </row>
    <row r="231" customFormat="false" ht="32.8" hidden="false" customHeight="false" outlineLevel="0" collapsed="false">
      <c r="A231" s="19" t="s">
        <v>2099</v>
      </c>
      <c r="B231" s="19" t="s">
        <v>47</v>
      </c>
      <c r="C231" s="19" t="str">
        <f aca="false">IFERROR(INDEX('Agent Roster'!$B:$B,MATCH(B231,'Agent Roster'!$A:$A,0)),"UNASSIGNED")</f>
        <v>Founder / Operator (HUMAN)</v>
      </c>
      <c r="D231" s="19" t="str">
        <f aca="false">IFERROR(INDEX('Agent Roster'!$D:$D,MATCH(B231,'Agent Roster'!$A:$A,0)),"UNASSIGNED")</f>
        <v>Governance &amp; Meta-Tier</v>
      </c>
      <c r="E231" s="19" t="s">
        <v>2086</v>
      </c>
      <c r="F231" s="19" t="s">
        <v>2100</v>
      </c>
      <c r="G231" s="19" t="s">
        <v>1315</v>
      </c>
      <c r="H231" s="19" t="s">
        <v>2088</v>
      </c>
      <c r="I231" s="19" t="s">
        <v>2101</v>
      </c>
      <c r="J231" s="19" t="s">
        <v>51</v>
      </c>
      <c r="K231" s="19" t="s">
        <v>1340</v>
      </c>
      <c r="L231" s="19" t="s">
        <v>1341</v>
      </c>
      <c r="M231" s="19" t="s">
        <v>47</v>
      </c>
      <c r="N231" s="19" t="s">
        <v>1657</v>
      </c>
      <c r="O231" s="19" t="s">
        <v>2060</v>
      </c>
    </row>
    <row r="232" customFormat="false" ht="22.35" hidden="false" customHeight="false" outlineLevel="0" collapsed="false">
      <c r="A232" s="19" t="s">
        <v>2102</v>
      </c>
      <c r="B232" s="19" t="s">
        <v>47</v>
      </c>
      <c r="C232" s="19" t="str">
        <f aca="false">IFERROR(INDEX('Agent Roster'!$B:$B,MATCH(B232,'Agent Roster'!$A:$A,0)),"UNASSIGNED")</f>
        <v>Founder / Operator (HUMAN)</v>
      </c>
      <c r="D232" s="19" t="str">
        <f aca="false">IFERROR(INDEX('Agent Roster'!$D:$D,MATCH(B232,'Agent Roster'!$A:$A,0)),"UNASSIGNED")</f>
        <v>Governance &amp; Meta-Tier</v>
      </c>
      <c r="E232" s="19" t="s">
        <v>2086</v>
      </c>
      <c r="F232" s="19" t="s">
        <v>2103</v>
      </c>
      <c r="G232" s="19" t="s">
        <v>1315</v>
      </c>
      <c r="H232" s="19" t="s">
        <v>2088</v>
      </c>
      <c r="I232" s="19" t="s">
        <v>2104</v>
      </c>
      <c r="J232" s="19" t="s">
        <v>51</v>
      </c>
      <c r="K232" s="19" t="s">
        <v>1345</v>
      </c>
      <c r="L232" s="19" t="s">
        <v>1346</v>
      </c>
      <c r="M232" s="19" t="s">
        <v>47</v>
      </c>
      <c r="N232" s="19" t="s">
        <v>1657</v>
      </c>
      <c r="O232" s="19" t="s">
        <v>2060</v>
      </c>
    </row>
    <row r="233" customFormat="false" ht="22.35" hidden="false" customHeight="false" outlineLevel="0" collapsed="false">
      <c r="A233" s="19" t="s">
        <v>2105</v>
      </c>
      <c r="B233" s="19" t="s">
        <v>47</v>
      </c>
      <c r="C233" s="19" t="str">
        <f aca="false">IFERROR(INDEX('Agent Roster'!$B:$B,MATCH(B233,'Agent Roster'!$A:$A,0)),"UNASSIGNED")</f>
        <v>Founder / Operator (HUMAN)</v>
      </c>
      <c r="D233" s="19" t="str">
        <f aca="false">IFERROR(INDEX('Agent Roster'!$D:$D,MATCH(B233,'Agent Roster'!$A:$A,0)),"UNASSIGNED")</f>
        <v>Governance &amp; Meta-Tier</v>
      </c>
      <c r="E233" s="19" t="s">
        <v>2086</v>
      </c>
      <c r="F233" s="19" t="s">
        <v>2106</v>
      </c>
      <c r="G233" s="19" t="s">
        <v>1315</v>
      </c>
      <c r="H233" s="19" t="s">
        <v>2088</v>
      </c>
      <c r="I233" s="19" t="s">
        <v>2107</v>
      </c>
      <c r="J233" s="19" t="s">
        <v>51</v>
      </c>
      <c r="K233" s="19" t="s">
        <v>1350</v>
      </c>
      <c r="L233" s="19" t="s">
        <v>1351</v>
      </c>
      <c r="M233" s="19" t="s">
        <v>47</v>
      </c>
      <c r="N233" s="19" t="s">
        <v>1657</v>
      </c>
      <c r="O233" s="19" t="s">
        <v>2060</v>
      </c>
    </row>
    <row r="234" customFormat="false" ht="22.35" hidden="false" customHeight="false" outlineLevel="0" collapsed="false">
      <c r="A234" s="19" t="s">
        <v>2108</v>
      </c>
      <c r="B234" s="19" t="s">
        <v>47</v>
      </c>
      <c r="C234" s="19" t="str">
        <f aca="false">IFERROR(INDEX('Agent Roster'!$B:$B,MATCH(B234,'Agent Roster'!$A:$A,0)),"UNASSIGNED")</f>
        <v>Founder / Operator (HUMAN)</v>
      </c>
      <c r="D234" s="19" t="str">
        <f aca="false">IFERROR(INDEX('Agent Roster'!$D:$D,MATCH(B234,'Agent Roster'!$A:$A,0)),"UNASSIGNED")</f>
        <v>Governance &amp; Meta-Tier</v>
      </c>
      <c r="E234" s="19" t="s">
        <v>2086</v>
      </c>
      <c r="F234" s="19" t="s">
        <v>2109</v>
      </c>
      <c r="G234" s="19" t="s">
        <v>1315</v>
      </c>
      <c r="H234" s="19" t="s">
        <v>2088</v>
      </c>
      <c r="I234" s="19" t="s">
        <v>2110</v>
      </c>
      <c r="J234" s="19" t="s">
        <v>51</v>
      </c>
      <c r="K234" s="19" t="s">
        <v>1355</v>
      </c>
      <c r="L234" s="19" t="s">
        <v>1356</v>
      </c>
      <c r="M234" s="19" t="s">
        <v>47</v>
      </c>
      <c r="N234" s="19" t="s">
        <v>1657</v>
      </c>
      <c r="O234" s="19" t="s">
        <v>2060</v>
      </c>
    </row>
    <row r="235" customFormat="false" ht="22.35" hidden="false" customHeight="false" outlineLevel="0" collapsed="false">
      <c r="A235" s="19" t="s">
        <v>2111</v>
      </c>
      <c r="B235" s="19" t="s">
        <v>47</v>
      </c>
      <c r="C235" s="19" t="str">
        <f aca="false">IFERROR(INDEX('Agent Roster'!$B:$B,MATCH(B235,'Agent Roster'!$A:$A,0)),"UNASSIGNED")</f>
        <v>Founder / Operator (HUMAN)</v>
      </c>
      <c r="D235" s="19" t="str">
        <f aca="false">IFERROR(INDEX('Agent Roster'!$D:$D,MATCH(B235,'Agent Roster'!$A:$A,0)),"UNASSIGNED")</f>
        <v>Governance &amp; Meta-Tier</v>
      </c>
      <c r="E235" s="19" t="s">
        <v>2086</v>
      </c>
      <c r="F235" s="19" t="s">
        <v>2112</v>
      </c>
      <c r="G235" s="19" t="s">
        <v>1315</v>
      </c>
      <c r="H235" s="19" t="s">
        <v>2088</v>
      </c>
      <c r="I235" s="19" t="s">
        <v>2113</v>
      </c>
      <c r="J235" s="19" t="s">
        <v>51</v>
      </c>
      <c r="K235" s="19" t="s">
        <v>1360</v>
      </c>
      <c r="L235" s="19" t="s">
        <v>1376</v>
      </c>
      <c r="M235" s="19" t="s">
        <v>1377</v>
      </c>
      <c r="N235" s="19" t="s">
        <v>1657</v>
      </c>
      <c r="O235" s="19" t="s">
        <v>2060</v>
      </c>
    </row>
    <row r="236" customFormat="false" ht="22.35" hidden="false" customHeight="false" outlineLevel="0" collapsed="false">
      <c r="A236" s="19" t="s">
        <v>2114</v>
      </c>
      <c r="B236" s="19" t="s">
        <v>773</v>
      </c>
      <c r="C236" s="19" t="str">
        <f aca="false">IFERROR(INDEX('Agent Roster'!$B:$B,MATCH(B236,'Agent Roster'!$A:$A,0)),"UNASSIGNED")</f>
        <v>Capital Manager</v>
      </c>
      <c r="D236" s="19" t="str">
        <f aca="false">IFERROR(INDEX('Agent Roster'!$D:$D,MATCH(B236,'Agent Roster'!$A:$A,0)),"UNASSIGNED")</f>
        <v>5 · Finance Hub</v>
      </c>
      <c r="E236" s="19" t="s">
        <v>2115</v>
      </c>
      <c r="F236" s="19" t="s">
        <v>2116</v>
      </c>
      <c r="G236" s="19" t="s">
        <v>1315</v>
      </c>
      <c r="H236" s="19" t="s">
        <v>776</v>
      </c>
      <c r="I236" s="19" t="s">
        <v>2117</v>
      </c>
      <c r="J236" s="19" t="s">
        <v>2118</v>
      </c>
      <c r="K236" s="19" t="s">
        <v>1319</v>
      </c>
      <c r="L236" s="19" t="s">
        <v>1320</v>
      </c>
      <c r="M236" s="19" t="s">
        <v>773</v>
      </c>
      <c r="N236" s="19"/>
      <c r="O236" s="19" t="s">
        <v>1321</v>
      </c>
    </row>
    <row r="237" customFormat="false" ht="22.35" hidden="false" customHeight="false" outlineLevel="0" collapsed="false">
      <c r="A237" s="19" t="s">
        <v>2119</v>
      </c>
      <c r="B237" s="19" t="s">
        <v>773</v>
      </c>
      <c r="C237" s="19" t="str">
        <f aca="false">IFERROR(INDEX('Agent Roster'!$B:$B,MATCH(B237,'Agent Roster'!$A:$A,0)),"UNASSIGNED")</f>
        <v>Capital Manager</v>
      </c>
      <c r="D237" s="19" t="str">
        <f aca="false">IFERROR(INDEX('Agent Roster'!$D:$D,MATCH(B237,'Agent Roster'!$A:$A,0)),"UNASSIGNED")</f>
        <v>5 · Finance Hub</v>
      </c>
      <c r="E237" s="19" t="s">
        <v>2115</v>
      </c>
      <c r="F237" s="19" t="s">
        <v>2120</v>
      </c>
      <c r="G237" s="19" t="s">
        <v>1315</v>
      </c>
      <c r="H237" s="19" t="s">
        <v>776</v>
      </c>
      <c r="I237" s="19" t="s">
        <v>2121</v>
      </c>
      <c r="J237" s="19" t="s">
        <v>2118</v>
      </c>
      <c r="K237" s="19" t="s">
        <v>1325</v>
      </c>
      <c r="L237" s="19" t="s">
        <v>1326</v>
      </c>
      <c r="M237" s="19" t="s">
        <v>773</v>
      </c>
      <c r="N237" s="19"/>
      <c r="O237" s="19" t="s">
        <v>1321</v>
      </c>
    </row>
    <row r="238" customFormat="false" ht="22.35" hidden="false" customHeight="false" outlineLevel="0" collapsed="false">
      <c r="A238" s="19" t="s">
        <v>2122</v>
      </c>
      <c r="B238" s="19" t="s">
        <v>773</v>
      </c>
      <c r="C238" s="19" t="str">
        <f aca="false">IFERROR(INDEX('Agent Roster'!$B:$B,MATCH(B238,'Agent Roster'!$A:$A,0)),"UNASSIGNED")</f>
        <v>Capital Manager</v>
      </c>
      <c r="D238" s="19" t="str">
        <f aca="false">IFERROR(INDEX('Agent Roster'!$D:$D,MATCH(B238,'Agent Roster'!$A:$A,0)),"UNASSIGNED")</f>
        <v>5 · Finance Hub</v>
      </c>
      <c r="E238" s="19" t="s">
        <v>2115</v>
      </c>
      <c r="F238" s="19" t="s">
        <v>2123</v>
      </c>
      <c r="G238" s="19" t="s">
        <v>1315</v>
      </c>
      <c r="H238" s="19" t="s">
        <v>776</v>
      </c>
      <c r="I238" s="19" t="s">
        <v>2124</v>
      </c>
      <c r="J238" s="19" t="s">
        <v>2118</v>
      </c>
      <c r="K238" s="19" t="s">
        <v>1330</v>
      </c>
      <c r="L238" s="19" t="s">
        <v>1331</v>
      </c>
      <c r="M238" s="19" t="s">
        <v>773</v>
      </c>
      <c r="N238" s="19"/>
      <c r="O238" s="19" t="s">
        <v>1321</v>
      </c>
    </row>
    <row r="239" customFormat="false" ht="22.35" hidden="false" customHeight="false" outlineLevel="0" collapsed="false">
      <c r="A239" s="19" t="s">
        <v>2125</v>
      </c>
      <c r="B239" s="19" t="s">
        <v>773</v>
      </c>
      <c r="C239" s="19" t="str">
        <f aca="false">IFERROR(INDEX('Agent Roster'!$B:$B,MATCH(B239,'Agent Roster'!$A:$A,0)),"UNASSIGNED")</f>
        <v>Capital Manager</v>
      </c>
      <c r="D239" s="19" t="str">
        <f aca="false">IFERROR(INDEX('Agent Roster'!$D:$D,MATCH(B239,'Agent Roster'!$A:$A,0)),"UNASSIGNED")</f>
        <v>5 · Finance Hub</v>
      </c>
      <c r="E239" s="19" t="s">
        <v>2115</v>
      </c>
      <c r="F239" s="19" t="s">
        <v>2126</v>
      </c>
      <c r="G239" s="19" t="s">
        <v>1315</v>
      </c>
      <c r="H239" s="19" t="s">
        <v>776</v>
      </c>
      <c r="I239" s="19" t="s">
        <v>2127</v>
      </c>
      <c r="J239" s="19" t="s">
        <v>2118</v>
      </c>
      <c r="K239" s="19" t="s">
        <v>1335</v>
      </c>
      <c r="L239" s="19" t="s">
        <v>1336</v>
      </c>
      <c r="M239" s="19" t="s">
        <v>773</v>
      </c>
      <c r="N239" s="19"/>
      <c r="O239" s="19" t="s">
        <v>1321</v>
      </c>
    </row>
    <row r="240" customFormat="false" ht="22.35" hidden="false" customHeight="false" outlineLevel="0" collapsed="false">
      <c r="A240" s="19" t="s">
        <v>2128</v>
      </c>
      <c r="B240" s="19" t="s">
        <v>773</v>
      </c>
      <c r="C240" s="19" t="str">
        <f aca="false">IFERROR(INDEX('Agent Roster'!$B:$B,MATCH(B240,'Agent Roster'!$A:$A,0)),"UNASSIGNED")</f>
        <v>Capital Manager</v>
      </c>
      <c r="D240" s="19" t="str">
        <f aca="false">IFERROR(INDEX('Agent Roster'!$D:$D,MATCH(B240,'Agent Roster'!$A:$A,0)),"UNASSIGNED")</f>
        <v>5 · Finance Hub</v>
      </c>
      <c r="E240" s="19" t="s">
        <v>2115</v>
      </c>
      <c r="F240" s="19" t="s">
        <v>2129</v>
      </c>
      <c r="G240" s="19" t="s">
        <v>1315</v>
      </c>
      <c r="H240" s="19" t="s">
        <v>776</v>
      </c>
      <c r="I240" s="19" t="s">
        <v>2130</v>
      </c>
      <c r="J240" s="19" t="s">
        <v>2118</v>
      </c>
      <c r="K240" s="19" t="s">
        <v>1340</v>
      </c>
      <c r="L240" s="19" t="s">
        <v>1341</v>
      </c>
      <c r="M240" s="19" t="s">
        <v>773</v>
      </c>
      <c r="N240" s="19"/>
      <c r="O240" s="19" t="s">
        <v>1321</v>
      </c>
    </row>
    <row r="241" customFormat="false" ht="22.35" hidden="false" customHeight="false" outlineLevel="0" collapsed="false">
      <c r="A241" s="19" t="s">
        <v>2131</v>
      </c>
      <c r="B241" s="19" t="s">
        <v>773</v>
      </c>
      <c r="C241" s="19" t="str">
        <f aca="false">IFERROR(INDEX('Agent Roster'!$B:$B,MATCH(B241,'Agent Roster'!$A:$A,0)),"UNASSIGNED")</f>
        <v>Capital Manager</v>
      </c>
      <c r="D241" s="19" t="str">
        <f aca="false">IFERROR(INDEX('Agent Roster'!$D:$D,MATCH(B241,'Agent Roster'!$A:$A,0)),"UNASSIGNED")</f>
        <v>5 · Finance Hub</v>
      </c>
      <c r="E241" s="19" t="s">
        <v>2115</v>
      </c>
      <c r="F241" s="19" t="s">
        <v>2132</v>
      </c>
      <c r="G241" s="19" t="s">
        <v>1315</v>
      </c>
      <c r="H241" s="19" t="s">
        <v>776</v>
      </c>
      <c r="I241" s="19" t="s">
        <v>2133</v>
      </c>
      <c r="J241" s="19" t="s">
        <v>2118</v>
      </c>
      <c r="K241" s="19" t="s">
        <v>1345</v>
      </c>
      <c r="L241" s="19" t="s">
        <v>1346</v>
      </c>
      <c r="M241" s="19" t="s">
        <v>773</v>
      </c>
      <c r="N241" s="19"/>
      <c r="O241" s="19" t="s">
        <v>1321</v>
      </c>
    </row>
    <row r="242" customFormat="false" ht="22.35" hidden="false" customHeight="false" outlineLevel="0" collapsed="false">
      <c r="A242" s="19" t="s">
        <v>2134</v>
      </c>
      <c r="B242" s="19" t="s">
        <v>773</v>
      </c>
      <c r="C242" s="19" t="str">
        <f aca="false">IFERROR(INDEX('Agent Roster'!$B:$B,MATCH(B242,'Agent Roster'!$A:$A,0)),"UNASSIGNED")</f>
        <v>Capital Manager</v>
      </c>
      <c r="D242" s="19" t="str">
        <f aca="false">IFERROR(INDEX('Agent Roster'!$D:$D,MATCH(B242,'Agent Roster'!$A:$A,0)),"UNASSIGNED")</f>
        <v>5 · Finance Hub</v>
      </c>
      <c r="E242" s="19" t="s">
        <v>2115</v>
      </c>
      <c r="F242" s="19" t="s">
        <v>2135</v>
      </c>
      <c r="G242" s="19" t="s">
        <v>1315</v>
      </c>
      <c r="H242" s="19" t="s">
        <v>776</v>
      </c>
      <c r="I242" s="19" t="s">
        <v>2136</v>
      </c>
      <c r="J242" s="19" t="s">
        <v>2118</v>
      </c>
      <c r="K242" s="19" t="s">
        <v>1350</v>
      </c>
      <c r="L242" s="19" t="s">
        <v>1351</v>
      </c>
      <c r="M242" s="19" t="s">
        <v>773</v>
      </c>
      <c r="N242" s="19"/>
      <c r="O242" s="19" t="s">
        <v>1321</v>
      </c>
    </row>
    <row r="243" customFormat="false" ht="22.35" hidden="false" customHeight="false" outlineLevel="0" collapsed="false">
      <c r="A243" s="19" t="s">
        <v>2137</v>
      </c>
      <c r="B243" s="19" t="s">
        <v>773</v>
      </c>
      <c r="C243" s="19" t="str">
        <f aca="false">IFERROR(INDEX('Agent Roster'!$B:$B,MATCH(B243,'Agent Roster'!$A:$A,0)),"UNASSIGNED")</f>
        <v>Capital Manager</v>
      </c>
      <c r="D243" s="19" t="str">
        <f aca="false">IFERROR(INDEX('Agent Roster'!$D:$D,MATCH(B243,'Agent Roster'!$A:$A,0)),"UNASSIGNED")</f>
        <v>5 · Finance Hub</v>
      </c>
      <c r="E243" s="19" t="s">
        <v>2115</v>
      </c>
      <c r="F243" s="19" t="s">
        <v>2138</v>
      </c>
      <c r="G243" s="19" t="s">
        <v>1315</v>
      </c>
      <c r="H243" s="19" t="s">
        <v>776</v>
      </c>
      <c r="I243" s="19" t="s">
        <v>2139</v>
      </c>
      <c r="J243" s="19" t="s">
        <v>2118</v>
      </c>
      <c r="K243" s="19" t="s">
        <v>1355</v>
      </c>
      <c r="L243" s="19" t="s">
        <v>1356</v>
      </c>
      <c r="M243" s="19" t="s">
        <v>773</v>
      </c>
      <c r="N243" s="19"/>
      <c r="O243" s="19" t="s">
        <v>1321</v>
      </c>
    </row>
    <row r="244" customFormat="false" ht="22.35" hidden="false" customHeight="false" outlineLevel="0" collapsed="false">
      <c r="A244" s="19" t="s">
        <v>2140</v>
      </c>
      <c r="B244" s="19" t="s">
        <v>773</v>
      </c>
      <c r="C244" s="19" t="str">
        <f aca="false">IFERROR(INDEX('Agent Roster'!$B:$B,MATCH(B244,'Agent Roster'!$A:$A,0)),"UNASSIGNED")</f>
        <v>Capital Manager</v>
      </c>
      <c r="D244" s="19" t="str">
        <f aca="false">IFERROR(INDEX('Agent Roster'!$D:$D,MATCH(B244,'Agent Roster'!$A:$A,0)),"UNASSIGNED")</f>
        <v>5 · Finance Hub</v>
      </c>
      <c r="E244" s="19" t="s">
        <v>2115</v>
      </c>
      <c r="F244" s="19" t="s">
        <v>2141</v>
      </c>
      <c r="G244" s="19" t="s">
        <v>1315</v>
      </c>
      <c r="H244" s="19" t="s">
        <v>776</v>
      </c>
      <c r="I244" s="19" t="s">
        <v>2142</v>
      </c>
      <c r="J244" s="19" t="s">
        <v>2118</v>
      </c>
      <c r="K244" s="19" t="s">
        <v>1360</v>
      </c>
      <c r="L244" s="19" t="s">
        <v>1361</v>
      </c>
      <c r="M244" s="19" t="s">
        <v>773</v>
      </c>
      <c r="N244" s="19"/>
      <c r="O244" s="19" t="s">
        <v>1321</v>
      </c>
    </row>
    <row r="245" customFormat="false" ht="22.35" hidden="false" customHeight="false" outlineLevel="0" collapsed="false">
      <c r="A245" s="19" t="s">
        <v>2143</v>
      </c>
      <c r="B245" s="19" t="s">
        <v>773</v>
      </c>
      <c r="C245" s="19" t="str">
        <f aca="false">IFERROR(INDEX('Agent Roster'!$B:$B,MATCH(B245,'Agent Roster'!$A:$A,0)),"UNASSIGNED")</f>
        <v>Capital Manager</v>
      </c>
      <c r="D245" s="19" t="str">
        <f aca="false">IFERROR(INDEX('Agent Roster'!$D:$D,MATCH(B245,'Agent Roster'!$A:$A,0)),"UNASSIGNED")</f>
        <v>5 · Finance Hub</v>
      </c>
      <c r="E245" s="19" t="s">
        <v>2115</v>
      </c>
      <c r="F245" s="19" t="s">
        <v>2144</v>
      </c>
      <c r="G245" s="19" t="s">
        <v>1315</v>
      </c>
      <c r="H245" s="19" t="s">
        <v>776</v>
      </c>
      <c r="I245" s="19" t="s">
        <v>2145</v>
      </c>
      <c r="J245" s="19" t="s">
        <v>2118</v>
      </c>
      <c r="K245" s="19" t="s">
        <v>1365</v>
      </c>
      <c r="L245" s="19" t="s">
        <v>1376</v>
      </c>
      <c r="M245" s="19" t="s">
        <v>1377</v>
      </c>
      <c r="N245" s="19"/>
      <c r="O245" s="19" t="s">
        <v>1321</v>
      </c>
    </row>
    <row r="246" customFormat="false" ht="22.35" hidden="false" customHeight="false" outlineLevel="0" collapsed="false">
      <c r="A246" s="19" t="s">
        <v>2146</v>
      </c>
      <c r="B246" s="19" t="s">
        <v>378</v>
      </c>
      <c r="C246" s="19" t="str">
        <f aca="false">IFERROR(INDEX('Agent Roster'!$B:$B,MATCH(B246,'Agent Roster'!$A:$A,0)),"UNASSIGNED")</f>
        <v>Investigation &amp; Research Agent</v>
      </c>
      <c r="D246" s="19" t="str">
        <f aca="false">IFERROR(INDEX('Agent Roster'!$D:$D,MATCH(B246,'Agent Roster'!$A:$A,0)),"UNASSIGNED")</f>
        <v>Orchestration &amp; Diagnostics</v>
      </c>
      <c r="E246" s="19" t="s">
        <v>2147</v>
      </c>
      <c r="F246" s="19" t="s">
        <v>2148</v>
      </c>
      <c r="G246" s="19" t="s">
        <v>1315</v>
      </c>
      <c r="H246" s="19" t="s">
        <v>2149</v>
      </c>
      <c r="I246" s="19" t="s">
        <v>2150</v>
      </c>
      <c r="J246" s="19" t="s">
        <v>2151</v>
      </c>
      <c r="K246" s="19" t="s">
        <v>1319</v>
      </c>
      <c r="L246" s="19" t="s">
        <v>1320</v>
      </c>
      <c r="M246" s="19" t="s">
        <v>378</v>
      </c>
      <c r="N246" s="19"/>
      <c r="O246" s="19" t="s">
        <v>1321</v>
      </c>
    </row>
    <row r="247" customFormat="false" ht="22.35" hidden="false" customHeight="false" outlineLevel="0" collapsed="false">
      <c r="A247" s="19" t="s">
        <v>2152</v>
      </c>
      <c r="B247" s="19" t="s">
        <v>378</v>
      </c>
      <c r="C247" s="19" t="str">
        <f aca="false">IFERROR(INDEX('Agent Roster'!$B:$B,MATCH(B247,'Agent Roster'!$A:$A,0)),"UNASSIGNED")</f>
        <v>Investigation &amp; Research Agent</v>
      </c>
      <c r="D247" s="19" t="str">
        <f aca="false">IFERROR(INDEX('Agent Roster'!$D:$D,MATCH(B247,'Agent Roster'!$A:$A,0)),"UNASSIGNED")</f>
        <v>Orchestration &amp; Diagnostics</v>
      </c>
      <c r="E247" s="19" t="s">
        <v>2147</v>
      </c>
      <c r="F247" s="19" t="s">
        <v>2153</v>
      </c>
      <c r="G247" s="19" t="s">
        <v>1315</v>
      </c>
      <c r="H247" s="19" t="s">
        <v>2149</v>
      </c>
      <c r="I247" s="19" t="s">
        <v>2154</v>
      </c>
      <c r="J247" s="19" t="s">
        <v>2151</v>
      </c>
      <c r="K247" s="19" t="s">
        <v>1325</v>
      </c>
      <c r="L247" s="19" t="s">
        <v>1326</v>
      </c>
      <c r="M247" s="19" t="s">
        <v>378</v>
      </c>
      <c r="N247" s="19"/>
      <c r="O247" s="19" t="s">
        <v>1321</v>
      </c>
    </row>
    <row r="248" customFormat="false" ht="22.35" hidden="false" customHeight="false" outlineLevel="0" collapsed="false">
      <c r="A248" s="19" t="s">
        <v>2155</v>
      </c>
      <c r="B248" s="19" t="s">
        <v>378</v>
      </c>
      <c r="C248" s="19" t="str">
        <f aca="false">IFERROR(INDEX('Agent Roster'!$B:$B,MATCH(B248,'Agent Roster'!$A:$A,0)),"UNASSIGNED")</f>
        <v>Investigation &amp; Research Agent</v>
      </c>
      <c r="D248" s="19" t="str">
        <f aca="false">IFERROR(INDEX('Agent Roster'!$D:$D,MATCH(B248,'Agent Roster'!$A:$A,0)),"UNASSIGNED")</f>
        <v>Orchestration &amp; Diagnostics</v>
      </c>
      <c r="E248" s="19" t="s">
        <v>2147</v>
      </c>
      <c r="F248" s="19" t="s">
        <v>2156</v>
      </c>
      <c r="G248" s="19" t="s">
        <v>1315</v>
      </c>
      <c r="H248" s="19" t="s">
        <v>2149</v>
      </c>
      <c r="I248" s="19" t="s">
        <v>2157</v>
      </c>
      <c r="J248" s="19" t="s">
        <v>2151</v>
      </c>
      <c r="K248" s="19" t="s">
        <v>1330</v>
      </c>
      <c r="L248" s="19" t="s">
        <v>1331</v>
      </c>
      <c r="M248" s="19" t="s">
        <v>378</v>
      </c>
      <c r="N248" s="19"/>
      <c r="O248" s="19" t="s">
        <v>1321</v>
      </c>
    </row>
    <row r="249" customFormat="false" ht="22.35" hidden="false" customHeight="false" outlineLevel="0" collapsed="false">
      <c r="A249" s="19" t="s">
        <v>2158</v>
      </c>
      <c r="B249" s="19" t="s">
        <v>378</v>
      </c>
      <c r="C249" s="19" t="str">
        <f aca="false">IFERROR(INDEX('Agent Roster'!$B:$B,MATCH(B249,'Agent Roster'!$A:$A,0)),"UNASSIGNED")</f>
        <v>Investigation &amp; Research Agent</v>
      </c>
      <c r="D249" s="19" t="str">
        <f aca="false">IFERROR(INDEX('Agent Roster'!$D:$D,MATCH(B249,'Agent Roster'!$A:$A,0)),"UNASSIGNED")</f>
        <v>Orchestration &amp; Diagnostics</v>
      </c>
      <c r="E249" s="19" t="s">
        <v>2147</v>
      </c>
      <c r="F249" s="19" t="s">
        <v>2159</v>
      </c>
      <c r="G249" s="19" t="s">
        <v>1315</v>
      </c>
      <c r="H249" s="19" t="s">
        <v>2149</v>
      </c>
      <c r="I249" s="19" t="s">
        <v>2160</v>
      </c>
      <c r="J249" s="19" t="s">
        <v>2151</v>
      </c>
      <c r="K249" s="19" t="s">
        <v>1335</v>
      </c>
      <c r="L249" s="19" t="s">
        <v>1336</v>
      </c>
      <c r="M249" s="19" t="s">
        <v>378</v>
      </c>
      <c r="N249" s="19"/>
      <c r="O249" s="19" t="s">
        <v>1321</v>
      </c>
    </row>
    <row r="250" customFormat="false" ht="22.35" hidden="false" customHeight="false" outlineLevel="0" collapsed="false">
      <c r="A250" s="19" t="s">
        <v>2161</v>
      </c>
      <c r="B250" s="19" t="s">
        <v>378</v>
      </c>
      <c r="C250" s="19" t="str">
        <f aca="false">IFERROR(INDEX('Agent Roster'!$B:$B,MATCH(B250,'Agent Roster'!$A:$A,0)),"UNASSIGNED")</f>
        <v>Investigation &amp; Research Agent</v>
      </c>
      <c r="D250" s="19" t="str">
        <f aca="false">IFERROR(INDEX('Agent Roster'!$D:$D,MATCH(B250,'Agent Roster'!$A:$A,0)),"UNASSIGNED")</f>
        <v>Orchestration &amp; Diagnostics</v>
      </c>
      <c r="E250" s="19" t="s">
        <v>2147</v>
      </c>
      <c r="F250" s="19" t="s">
        <v>2162</v>
      </c>
      <c r="G250" s="19" t="s">
        <v>1315</v>
      </c>
      <c r="H250" s="19" t="s">
        <v>2149</v>
      </c>
      <c r="I250" s="19" t="s">
        <v>2163</v>
      </c>
      <c r="J250" s="19" t="s">
        <v>2151</v>
      </c>
      <c r="K250" s="19" t="s">
        <v>1340</v>
      </c>
      <c r="L250" s="19" t="s">
        <v>1341</v>
      </c>
      <c r="M250" s="19" t="s">
        <v>378</v>
      </c>
      <c r="N250" s="19"/>
      <c r="O250" s="19" t="s">
        <v>1321</v>
      </c>
    </row>
    <row r="251" customFormat="false" ht="22.35" hidden="false" customHeight="false" outlineLevel="0" collapsed="false">
      <c r="A251" s="19" t="s">
        <v>2164</v>
      </c>
      <c r="B251" s="19" t="s">
        <v>378</v>
      </c>
      <c r="C251" s="19" t="str">
        <f aca="false">IFERROR(INDEX('Agent Roster'!$B:$B,MATCH(B251,'Agent Roster'!$A:$A,0)),"UNASSIGNED")</f>
        <v>Investigation &amp; Research Agent</v>
      </c>
      <c r="D251" s="19" t="str">
        <f aca="false">IFERROR(INDEX('Agent Roster'!$D:$D,MATCH(B251,'Agent Roster'!$A:$A,0)),"UNASSIGNED")</f>
        <v>Orchestration &amp; Diagnostics</v>
      </c>
      <c r="E251" s="19" t="s">
        <v>2147</v>
      </c>
      <c r="F251" s="19" t="s">
        <v>2165</v>
      </c>
      <c r="G251" s="19" t="s">
        <v>1315</v>
      </c>
      <c r="H251" s="19" t="s">
        <v>2149</v>
      </c>
      <c r="I251" s="19" t="s">
        <v>2166</v>
      </c>
      <c r="J251" s="19" t="s">
        <v>2151</v>
      </c>
      <c r="K251" s="19" t="s">
        <v>1345</v>
      </c>
      <c r="L251" s="19" t="s">
        <v>1346</v>
      </c>
      <c r="M251" s="19" t="s">
        <v>378</v>
      </c>
      <c r="N251" s="19"/>
      <c r="O251" s="19" t="s">
        <v>1321</v>
      </c>
    </row>
    <row r="252" customFormat="false" ht="22.35" hidden="false" customHeight="false" outlineLevel="0" collapsed="false">
      <c r="A252" s="19" t="s">
        <v>2167</v>
      </c>
      <c r="B252" s="19" t="s">
        <v>378</v>
      </c>
      <c r="C252" s="19" t="str">
        <f aca="false">IFERROR(INDEX('Agent Roster'!$B:$B,MATCH(B252,'Agent Roster'!$A:$A,0)),"UNASSIGNED")</f>
        <v>Investigation &amp; Research Agent</v>
      </c>
      <c r="D252" s="19" t="str">
        <f aca="false">IFERROR(INDEX('Agent Roster'!$D:$D,MATCH(B252,'Agent Roster'!$A:$A,0)),"UNASSIGNED")</f>
        <v>Orchestration &amp; Diagnostics</v>
      </c>
      <c r="E252" s="19" t="s">
        <v>2147</v>
      </c>
      <c r="F252" s="19" t="s">
        <v>2168</v>
      </c>
      <c r="G252" s="19" t="s">
        <v>1315</v>
      </c>
      <c r="H252" s="19" t="s">
        <v>2149</v>
      </c>
      <c r="I252" s="19" t="s">
        <v>2169</v>
      </c>
      <c r="J252" s="19" t="s">
        <v>2151</v>
      </c>
      <c r="K252" s="19" t="s">
        <v>1350</v>
      </c>
      <c r="L252" s="19" t="s">
        <v>1351</v>
      </c>
      <c r="M252" s="19" t="s">
        <v>378</v>
      </c>
      <c r="N252" s="19"/>
      <c r="O252" s="19" t="s">
        <v>1321</v>
      </c>
    </row>
    <row r="253" customFormat="false" ht="22.35" hidden="false" customHeight="false" outlineLevel="0" collapsed="false">
      <c r="A253" s="19" t="s">
        <v>2170</v>
      </c>
      <c r="B253" s="19" t="s">
        <v>378</v>
      </c>
      <c r="C253" s="19" t="str">
        <f aca="false">IFERROR(INDEX('Agent Roster'!$B:$B,MATCH(B253,'Agent Roster'!$A:$A,0)),"UNASSIGNED")</f>
        <v>Investigation &amp; Research Agent</v>
      </c>
      <c r="D253" s="19" t="str">
        <f aca="false">IFERROR(INDEX('Agent Roster'!$D:$D,MATCH(B253,'Agent Roster'!$A:$A,0)),"UNASSIGNED")</f>
        <v>Orchestration &amp; Diagnostics</v>
      </c>
      <c r="E253" s="19" t="s">
        <v>2147</v>
      </c>
      <c r="F253" s="19" t="s">
        <v>2171</v>
      </c>
      <c r="G253" s="19" t="s">
        <v>1315</v>
      </c>
      <c r="H253" s="19" t="s">
        <v>2149</v>
      </c>
      <c r="I253" s="19" t="s">
        <v>2172</v>
      </c>
      <c r="J253" s="19" t="s">
        <v>2151</v>
      </c>
      <c r="K253" s="19" t="s">
        <v>1355</v>
      </c>
      <c r="L253" s="19" t="s">
        <v>1356</v>
      </c>
      <c r="M253" s="19" t="s">
        <v>378</v>
      </c>
      <c r="N253" s="19"/>
      <c r="O253" s="19" t="s">
        <v>1321</v>
      </c>
    </row>
    <row r="254" customFormat="false" ht="22.35" hidden="false" customHeight="false" outlineLevel="0" collapsed="false">
      <c r="A254" s="19" t="s">
        <v>2173</v>
      </c>
      <c r="B254" s="19" t="s">
        <v>378</v>
      </c>
      <c r="C254" s="19" t="str">
        <f aca="false">IFERROR(INDEX('Agent Roster'!$B:$B,MATCH(B254,'Agent Roster'!$A:$A,0)),"UNASSIGNED")</f>
        <v>Investigation &amp; Research Agent</v>
      </c>
      <c r="D254" s="19" t="str">
        <f aca="false">IFERROR(INDEX('Agent Roster'!$D:$D,MATCH(B254,'Agent Roster'!$A:$A,0)),"UNASSIGNED")</f>
        <v>Orchestration &amp; Diagnostics</v>
      </c>
      <c r="E254" s="19" t="s">
        <v>2147</v>
      </c>
      <c r="F254" s="19" t="s">
        <v>2174</v>
      </c>
      <c r="G254" s="19" t="s">
        <v>1315</v>
      </c>
      <c r="H254" s="19" t="s">
        <v>2149</v>
      </c>
      <c r="I254" s="19" t="s">
        <v>2175</v>
      </c>
      <c r="J254" s="19" t="s">
        <v>2151</v>
      </c>
      <c r="K254" s="19" t="s">
        <v>1360</v>
      </c>
      <c r="L254" s="19" t="s">
        <v>1361</v>
      </c>
      <c r="M254" s="19" t="s">
        <v>378</v>
      </c>
      <c r="N254" s="19"/>
      <c r="O254" s="19" t="s">
        <v>1321</v>
      </c>
    </row>
    <row r="255" customFormat="false" ht="22.35" hidden="false" customHeight="false" outlineLevel="0" collapsed="false">
      <c r="A255" s="19" t="s">
        <v>2176</v>
      </c>
      <c r="B255" s="19" t="s">
        <v>378</v>
      </c>
      <c r="C255" s="19" t="str">
        <f aca="false">IFERROR(INDEX('Agent Roster'!$B:$B,MATCH(B255,'Agent Roster'!$A:$A,0)),"UNASSIGNED")</f>
        <v>Investigation &amp; Research Agent</v>
      </c>
      <c r="D255" s="19" t="str">
        <f aca="false">IFERROR(INDEX('Agent Roster'!$D:$D,MATCH(B255,'Agent Roster'!$A:$A,0)),"UNASSIGNED")</f>
        <v>Orchestration &amp; Diagnostics</v>
      </c>
      <c r="E255" s="19" t="s">
        <v>2147</v>
      </c>
      <c r="F255" s="19" t="s">
        <v>2177</v>
      </c>
      <c r="G255" s="19" t="s">
        <v>1315</v>
      </c>
      <c r="H255" s="19" t="s">
        <v>2149</v>
      </c>
      <c r="I255" s="19" t="s">
        <v>2178</v>
      </c>
      <c r="J255" s="19" t="s">
        <v>2151</v>
      </c>
      <c r="K255" s="19" t="s">
        <v>1365</v>
      </c>
      <c r="L255" s="19" t="s">
        <v>1376</v>
      </c>
      <c r="M255" s="19" t="s">
        <v>1377</v>
      </c>
      <c r="N255" s="19"/>
      <c r="O255" s="19" t="s">
        <v>1321</v>
      </c>
    </row>
    <row r="256" customFormat="false" ht="15" hidden="false" customHeight="false" outlineLevel="0" collapsed="false">
      <c r="A256" s="19" t="s">
        <v>2179</v>
      </c>
      <c r="B256" s="19" t="s">
        <v>929</v>
      </c>
      <c r="C256" s="19" t="str">
        <f aca="false">IFERROR(INDEX('Agent Roster'!$B:$B,MATCH(B256,'Agent Roster'!$A:$A,0)),"UNASSIGNED")</f>
        <v>Learning &amp; Development Agent</v>
      </c>
      <c r="D256" s="19" t="str">
        <f aca="false">IFERROR(INDEX('Agent Roster'!$D:$D,MATCH(B256,'Agent Roster'!$A:$A,0)),"UNASSIGNED")</f>
        <v>6 · HR &amp; Culture Hub</v>
      </c>
      <c r="E256" s="19" t="s">
        <v>2180</v>
      </c>
      <c r="F256" s="19" t="s">
        <v>2181</v>
      </c>
      <c r="G256" s="19" t="s">
        <v>1315</v>
      </c>
      <c r="H256" s="19" t="s">
        <v>2182</v>
      </c>
      <c r="I256" s="19" t="s">
        <v>2183</v>
      </c>
      <c r="J256" s="19" t="s">
        <v>2184</v>
      </c>
      <c r="K256" s="19" t="s">
        <v>1319</v>
      </c>
      <c r="L256" s="19" t="s">
        <v>1320</v>
      </c>
      <c r="M256" s="19" t="s">
        <v>929</v>
      </c>
      <c r="N256" s="19"/>
      <c r="O256" s="19" t="s">
        <v>1321</v>
      </c>
    </row>
    <row r="257" customFormat="false" ht="22.35" hidden="false" customHeight="false" outlineLevel="0" collapsed="false">
      <c r="A257" s="19" t="s">
        <v>2185</v>
      </c>
      <c r="B257" s="19" t="s">
        <v>929</v>
      </c>
      <c r="C257" s="19" t="str">
        <f aca="false">IFERROR(INDEX('Agent Roster'!$B:$B,MATCH(B257,'Agent Roster'!$A:$A,0)),"UNASSIGNED")</f>
        <v>Learning &amp; Development Agent</v>
      </c>
      <c r="D257" s="19" t="str">
        <f aca="false">IFERROR(INDEX('Agent Roster'!$D:$D,MATCH(B257,'Agent Roster'!$A:$A,0)),"UNASSIGNED")</f>
        <v>6 · HR &amp; Culture Hub</v>
      </c>
      <c r="E257" s="19" t="s">
        <v>2180</v>
      </c>
      <c r="F257" s="19" t="s">
        <v>2186</v>
      </c>
      <c r="G257" s="19" t="s">
        <v>1315</v>
      </c>
      <c r="H257" s="19" t="s">
        <v>2182</v>
      </c>
      <c r="I257" s="19" t="s">
        <v>2187</v>
      </c>
      <c r="J257" s="19" t="s">
        <v>2184</v>
      </c>
      <c r="K257" s="19" t="s">
        <v>1325</v>
      </c>
      <c r="L257" s="19" t="s">
        <v>1326</v>
      </c>
      <c r="M257" s="19" t="s">
        <v>929</v>
      </c>
      <c r="N257" s="19"/>
      <c r="O257" s="19" t="s">
        <v>1321</v>
      </c>
    </row>
    <row r="258" customFormat="false" ht="15" hidden="false" customHeight="false" outlineLevel="0" collapsed="false">
      <c r="A258" s="19" t="s">
        <v>2188</v>
      </c>
      <c r="B258" s="19" t="s">
        <v>929</v>
      </c>
      <c r="C258" s="19" t="str">
        <f aca="false">IFERROR(INDEX('Agent Roster'!$B:$B,MATCH(B258,'Agent Roster'!$A:$A,0)),"UNASSIGNED")</f>
        <v>Learning &amp; Development Agent</v>
      </c>
      <c r="D258" s="19" t="str">
        <f aca="false">IFERROR(INDEX('Agent Roster'!$D:$D,MATCH(B258,'Agent Roster'!$A:$A,0)),"UNASSIGNED")</f>
        <v>6 · HR &amp; Culture Hub</v>
      </c>
      <c r="E258" s="19" t="s">
        <v>2180</v>
      </c>
      <c r="F258" s="19" t="s">
        <v>2189</v>
      </c>
      <c r="G258" s="19" t="s">
        <v>1315</v>
      </c>
      <c r="H258" s="19" t="s">
        <v>2182</v>
      </c>
      <c r="I258" s="19" t="s">
        <v>2190</v>
      </c>
      <c r="J258" s="19" t="s">
        <v>2184</v>
      </c>
      <c r="K258" s="19" t="s">
        <v>1330</v>
      </c>
      <c r="L258" s="19" t="s">
        <v>1331</v>
      </c>
      <c r="M258" s="19" t="s">
        <v>929</v>
      </c>
      <c r="N258" s="19"/>
      <c r="O258" s="19" t="s">
        <v>1321</v>
      </c>
    </row>
    <row r="259" customFormat="false" ht="15" hidden="false" customHeight="false" outlineLevel="0" collapsed="false">
      <c r="A259" s="19" t="s">
        <v>2191</v>
      </c>
      <c r="B259" s="19" t="s">
        <v>929</v>
      </c>
      <c r="C259" s="19" t="str">
        <f aca="false">IFERROR(INDEX('Agent Roster'!$B:$B,MATCH(B259,'Agent Roster'!$A:$A,0)),"UNASSIGNED")</f>
        <v>Learning &amp; Development Agent</v>
      </c>
      <c r="D259" s="19" t="str">
        <f aca="false">IFERROR(INDEX('Agent Roster'!$D:$D,MATCH(B259,'Agent Roster'!$A:$A,0)),"UNASSIGNED")</f>
        <v>6 · HR &amp; Culture Hub</v>
      </c>
      <c r="E259" s="19" t="s">
        <v>2180</v>
      </c>
      <c r="F259" s="19" t="s">
        <v>2192</v>
      </c>
      <c r="G259" s="19" t="s">
        <v>1315</v>
      </c>
      <c r="H259" s="19" t="s">
        <v>2182</v>
      </c>
      <c r="I259" s="19" t="s">
        <v>2193</v>
      </c>
      <c r="J259" s="19" t="s">
        <v>2184</v>
      </c>
      <c r="K259" s="19" t="s">
        <v>1335</v>
      </c>
      <c r="L259" s="19" t="s">
        <v>1336</v>
      </c>
      <c r="M259" s="19" t="s">
        <v>929</v>
      </c>
      <c r="N259" s="19"/>
      <c r="O259" s="19" t="s">
        <v>1321</v>
      </c>
    </row>
    <row r="260" customFormat="false" ht="22.35" hidden="false" customHeight="false" outlineLevel="0" collapsed="false">
      <c r="A260" s="19" t="s">
        <v>2194</v>
      </c>
      <c r="B260" s="19" t="s">
        <v>929</v>
      </c>
      <c r="C260" s="19" t="str">
        <f aca="false">IFERROR(INDEX('Agent Roster'!$B:$B,MATCH(B260,'Agent Roster'!$A:$A,0)),"UNASSIGNED")</f>
        <v>Learning &amp; Development Agent</v>
      </c>
      <c r="D260" s="19" t="str">
        <f aca="false">IFERROR(INDEX('Agent Roster'!$D:$D,MATCH(B260,'Agent Roster'!$A:$A,0)),"UNASSIGNED")</f>
        <v>6 · HR &amp; Culture Hub</v>
      </c>
      <c r="E260" s="19" t="s">
        <v>2180</v>
      </c>
      <c r="F260" s="19" t="s">
        <v>2195</v>
      </c>
      <c r="G260" s="19" t="s">
        <v>1315</v>
      </c>
      <c r="H260" s="19" t="s">
        <v>2182</v>
      </c>
      <c r="I260" s="19" t="s">
        <v>2196</v>
      </c>
      <c r="J260" s="19" t="s">
        <v>2184</v>
      </c>
      <c r="K260" s="19" t="s">
        <v>1340</v>
      </c>
      <c r="L260" s="19" t="s">
        <v>1341</v>
      </c>
      <c r="M260" s="19" t="s">
        <v>929</v>
      </c>
      <c r="N260" s="19"/>
      <c r="O260" s="19" t="s">
        <v>1321</v>
      </c>
    </row>
    <row r="261" customFormat="false" ht="22.35" hidden="false" customHeight="false" outlineLevel="0" collapsed="false">
      <c r="A261" s="19" t="s">
        <v>2197</v>
      </c>
      <c r="B261" s="19" t="s">
        <v>929</v>
      </c>
      <c r="C261" s="19" t="str">
        <f aca="false">IFERROR(INDEX('Agent Roster'!$B:$B,MATCH(B261,'Agent Roster'!$A:$A,0)),"UNASSIGNED")</f>
        <v>Learning &amp; Development Agent</v>
      </c>
      <c r="D261" s="19" t="str">
        <f aca="false">IFERROR(INDEX('Agent Roster'!$D:$D,MATCH(B261,'Agent Roster'!$A:$A,0)),"UNASSIGNED")</f>
        <v>6 · HR &amp; Culture Hub</v>
      </c>
      <c r="E261" s="19" t="s">
        <v>2180</v>
      </c>
      <c r="F261" s="19" t="s">
        <v>2198</v>
      </c>
      <c r="G261" s="19" t="s">
        <v>1315</v>
      </c>
      <c r="H261" s="19" t="s">
        <v>2182</v>
      </c>
      <c r="I261" s="19" t="s">
        <v>2199</v>
      </c>
      <c r="J261" s="19" t="s">
        <v>2184</v>
      </c>
      <c r="K261" s="19" t="s">
        <v>1345</v>
      </c>
      <c r="L261" s="19" t="s">
        <v>1346</v>
      </c>
      <c r="M261" s="19" t="s">
        <v>929</v>
      </c>
      <c r="N261" s="19"/>
      <c r="O261" s="19" t="s">
        <v>1321</v>
      </c>
    </row>
    <row r="262" customFormat="false" ht="22.35" hidden="false" customHeight="false" outlineLevel="0" collapsed="false">
      <c r="A262" s="19" t="s">
        <v>2200</v>
      </c>
      <c r="B262" s="19" t="s">
        <v>929</v>
      </c>
      <c r="C262" s="19" t="str">
        <f aca="false">IFERROR(INDEX('Agent Roster'!$B:$B,MATCH(B262,'Agent Roster'!$A:$A,0)),"UNASSIGNED")</f>
        <v>Learning &amp; Development Agent</v>
      </c>
      <c r="D262" s="19" t="str">
        <f aca="false">IFERROR(INDEX('Agent Roster'!$D:$D,MATCH(B262,'Agent Roster'!$A:$A,0)),"UNASSIGNED")</f>
        <v>6 · HR &amp; Culture Hub</v>
      </c>
      <c r="E262" s="19" t="s">
        <v>2180</v>
      </c>
      <c r="F262" s="19" t="s">
        <v>2201</v>
      </c>
      <c r="G262" s="19" t="s">
        <v>1315</v>
      </c>
      <c r="H262" s="19" t="s">
        <v>2182</v>
      </c>
      <c r="I262" s="19" t="s">
        <v>2202</v>
      </c>
      <c r="J262" s="19" t="s">
        <v>2184</v>
      </c>
      <c r="K262" s="19" t="s">
        <v>1350</v>
      </c>
      <c r="L262" s="19" t="s">
        <v>1351</v>
      </c>
      <c r="M262" s="19" t="s">
        <v>929</v>
      </c>
      <c r="N262" s="19"/>
      <c r="O262" s="19" t="s">
        <v>1321</v>
      </c>
    </row>
    <row r="263" customFormat="false" ht="15" hidden="false" customHeight="false" outlineLevel="0" collapsed="false">
      <c r="A263" s="19" t="s">
        <v>2203</v>
      </c>
      <c r="B263" s="19" t="s">
        <v>929</v>
      </c>
      <c r="C263" s="19" t="str">
        <f aca="false">IFERROR(INDEX('Agent Roster'!$B:$B,MATCH(B263,'Agent Roster'!$A:$A,0)),"UNASSIGNED")</f>
        <v>Learning &amp; Development Agent</v>
      </c>
      <c r="D263" s="19" t="str">
        <f aca="false">IFERROR(INDEX('Agent Roster'!$D:$D,MATCH(B263,'Agent Roster'!$A:$A,0)),"UNASSIGNED")</f>
        <v>6 · HR &amp; Culture Hub</v>
      </c>
      <c r="E263" s="19" t="s">
        <v>2180</v>
      </c>
      <c r="F263" s="19" t="s">
        <v>2204</v>
      </c>
      <c r="G263" s="19" t="s">
        <v>1315</v>
      </c>
      <c r="H263" s="19" t="s">
        <v>2182</v>
      </c>
      <c r="I263" s="19" t="s">
        <v>2205</v>
      </c>
      <c r="J263" s="19" t="s">
        <v>2184</v>
      </c>
      <c r="K263" s="19" t="s">
        <v>1355</v>
      </c>
      <c r="L263" s="19" t="s">
        <v>1356</v>
      </c>
      <c r="M263" s="19" t="s">
        <v>929</v>
      </c>
      <c r="N263" s="19"/>
      <c r="O263" s="19" t="s">
        <v>1321</v>
      </c>
    </row>
    <row r="264" customFormat="false" ht="22.35" hidden="false" customHeight="false" outlineLevel="0" collapsed="false">
      <c r="A264" s="19" t="s">
        <v>2206</v>
      </c>
      <c r="B264" s="19" t="s">
        <v>929</v>
      </c>
      <c r="C264" s="19" t="str">
        <f aca="false">IFERROR(INDEX('Agent Roster'!$B:$B,MATCH(B264,'Agent Roster'!$A:$A,0)),"UNASSIGNED")</f>
        <v>Learning &amp; Development Agent</v>
      </c>
      <c r="D264" s="19" t="str">
        <f aca="false">IFERROR(INDEX('Agent Roster'!$D:$D,MATCH(B264,'Agent Roster'!$A:$A,0)),"UNASSIGNED")</f>
        <v>6 · HR &amp; Culture Hub</v>
      </c>
      <c r="E264" s="19" t="s">
        <v>2180</v>
      </c>
      <c r="F264" s="19" t="s">
        <v>2207</v>
      </c>
      <c r="G264" s="19" t="s">
        <v>1315</v>
      </c>
      <c r="H264" s="19" t="s">
        <v>2182</v>
      </c>
      <c r="I264" s="19" t="s">
        <v>2208</v>
      </c>
      <c r="J264" s="19" t="s">
        <v>2184</v>
      </c>
      <c r="K264" s="19" t="s">
        <v>1360</v>
      </c>
      <c r="L264" s="19" t="s">
        <v>1376</v>
      </c>
      <c r="M264" s="19" t="s">
        <v>1377</v>
      </c>
      <c r="N264" s="19"/>
      <c r="O264" s="19" t="s">
        <v>1321</v>
      </c>
    </row>
    <row r="265" customFormat="false" ht="22.35" hidden="false" customHeight="false" outlineLevel="0" collapsed="false">
      <c r="A265" s="19" t="s">
        <v>2209</v>
      </c>
      <c r="B265" s="19" t="s">
        <v>325</v>
      </c>
      <c r="C265" s="19" t="str">
        <f aca="false">IFERROR(INDEX('Agent Roster'!$B:$B,MATCH(B265,'Agent Roster'!$A:$A,0)),"UNASSIGNED")</f>
        <v>Problem-Solving Agent</v>
      </c>
      <c r="D265" s="19" t="str">
        <f aca="false">IFERROR(INDEX('Agent Roster'!$D:$D,MATCH(B265,'Agent Roster'!$A:$A,0)),"UNASSIGNED")</f>
        <v>Orchestration &amp; Diagnostics</v>
      </c>
      <c r="E265" s="19" t="s">
        <v>2210</v>
      </c>
      <c r="F265" s="19" t="s">
        <v>2211</v>
      </c>
      <c r="G265" s="19" t="s">
        <v>1315</v>
      </c>
      <c r="H265" s="19" t="s">
        <v>328</v>
      </c>
      <c r="I265" s="19" t="s">
        <v>2212</v>
      </c>
      <c r="J265" s="19" t="s">
        <v>2213</v>
      </c>
      <c r="K265" s="19" t="s">
        <v>1319</v>
      </c>
      <c r="L265" s="19" t="s">
        <v>1320</v>
      </c>
      <c r="M265" s="19" t="s">
        <v>325</v>
      </c>
      <c r="N265" s="19"/>
      <c r="O265" s="19" t="s">
        <v>1321</v>
      </c>
    </row>
    <row r="266" customFormat="false" ht="22.35" hidden="false" customHeight="false" outlineLevel="0" collapsed="false">
      <c r="A266" s="19" t="s">
        <v>2214</v>
      </c>
      <c r="B266" s="19" t="s">
        <v>325</v>
      </c>
      <c r="C266" s="19" t="str">
        <f aca="false">IFERROR(INDEX('Agent Roster'!$B:$B,MATCH(B266,'Agent Roster'!$A:$A,0)),"UNASSIGNED")</f>
        <v>Problem-Solving Agent</v>
      </c>
      <c r="D266" s="19" t="str">
        <f aca="false">IFERROR(INDEX('Agent Roster'!$D:$D,MATCH(B266,'Agent Roster'!$A:$A,0)),"UNASSIGNED")</f>
        <v>Orchestration &amp; Diagnostics</v>
      </c>
      <c r="E266" s="19" t="s">
        <v>2210</v>
      </c>
      <c r="F266" s="19" t="s">
        <v>2215</v>
      </c>
      <c r="G266" s="19" t="s">
        <v>1315</v>
      </c>
      <c r="H266" s="19" t="s">
        <v>328</v>
      </c>
      <c r="I266" s="19" t="s">
        <v>2216</v>
      </c>
      <c r="J266" s="19" t="s">
        <v>2213</v>
      </c>
      <c r="K266" s="19" t="s">
        <v>1325</v>
      </c>
      <c r="L266" s="19" t="s">
        <v>1326</v>
      </c>
      <c r="M266" s="19" t="s">
        <v>325</v>
      </c>
      <c r="N266" s="19"/>
      <c r="O266" s="19" t="s">
        <v>1321</v>
      </c>
    </row>
    <row r="267" customFormat="false" ht="22.35" hidden="false" customHeight="false" outlineLevel="0" collapsed="false">
      <c r="A267" s="19" t="s">
        <v>2217</v>
      </c>
      <c r="B267" s="19" t="s">
        <v>325</v>
      </c>
      <c r="C267" s="19" t="str">
        <f aca="false">IFERROR(INDEX('Agent Roster'!$B:$B,MATCH(B267,'Agent Roster'!$A:$A,0)),"UNASSIGNED")</f>
        <v>Problem-Solving Agent</v>
      </c>
      <c r="D267" s="19" t="str">
        <f aca="false">IFERROR(INDEX('Agent Roster'!$D:$D,MATCH(B267,'Agent Roster'!$A:$A,0)),"UNASSIGNED")</f>
        <v>Orchestration &amp; Diagnostics</v>
      </c>
      <c r="E267" s="19" t="s">
        <v>2210</v>
      </c>
      <c r="F267" s="19" t="s">
        <v>2218</v>
      </c>
      <c r="G267" s="19" t="s">
        <v>1315</v>
      </c>
      <c r="H267" s="19" t="s">
        <v>328</v>
      </c>
      <c r="I267" s="19" t="s">
        <v>2219</v>
      </c>
      <c r="J267" s="19" t="s">
        <v>2213</v>
      </c>
      <c r="K267" s="19" t="s">
        <v>1330</v>
      </c>
      <c r="L267" s="19" t="s">
        <v>1331</v>
      </c>
      <c r="M267" s="19" t="s">
        <v>325</v>
      </c>
      <c r="N267" s="19"/>
      <c r="O267" s="19" t="s">
        <v>1321</v>
      </c>
    </row>
    <row r="268" customFormat="false" ht="22.35" hidden="false" customHeight="false" outlineLevel="0" collapsed="false">
      <c r="A268" s="19" t="s">
        <v>2220</v>
      </c>
      <c r="B268" s="19" t="s">
        <v>325</v>
      </c>
      <c r="C268" s="19" t="str">
        <f aca="false">IFERROR(INDEX('Agent Roster'!$B:$B,MATCH(B268,'Agent Roster'!$A:$A,0)),"UNASSIGNED")</f>
        <v>Problem-Solving Agent</v>
      </c>
      <c r="D268" s="19" t="str">
        <f aca="false">IFERROR(INDEX('Agent Roster'!$D:$D,MATCH(B268,'Agent Roster'!$A:$A,0)),"UNASSIGNED")</f>
        <v>Orchestration &amp; Diagnostics</v>
      </c>
      <c r="E268" s="19" t="s">
        <v>2210</v>
      </c>
      <c r="F268" s="19" t="s">
        <v>2221</v>
      </c>
      <c r="G268" s="19" t="s">
        <v>1315</v>
      </c>
      <c r="H268" s="19" t="s">
        <v>328</v>
      </c>
      <c r="I268" s="19" t="s">
        <v>2222</v>
      </c>
      <c r="J268" s="19" t="s">
        <v>2213</v>
      </c>
      <c r="K268" s="19" t="s">
        <v>1335</v>
      </c>
      <c r="L268" s="19" t="s">
        <v>1336</v>
      </c>
      <c r="M268" s="19" t="s">
        <v>325</v>
      </c>
      <c r="N268" s="19"/>
      <c r="O268" s="19" t="s">
        <v>1321</v>
      </c>
    </row>
    <row r="269" customFormat="false" ht="22.35" hidden="false" customHeight="false" outlineLevel="0" collapsed="false">
      <c r="A269" s="19" t="s">
        <v>2223</v>
      </c>
      <c r="B269" s="19" t="s">
        <v>325</v>
      </c>
      <c r="C269" s="19" t="str">
        <f aca="false">IFERROR(INDEX('Agent Roster'!$B:$B,MATCH(B269,'Agent Roster'!$A:$A,0)),"UNASSIGNED")</f>
        <v>Problem-Solving Agent</v>
      </c>
      <c r="D269" s="19" t="str">
        <f aca="false">IFERROR(INDEX('Agent Roster'!$D:$D,MATCH(B269,'Agent Roster'!$A:$A,0)),"UNASSIGNED")</f>
        <v>Orchestration &amp; Diagnostics</v>
      </c>
      <c r="E269" s="19" t="s">
        <v>2210</v>
      </c>
      <c r="F269" s="19" t="s">
        <v>2224</v>
      </c>
      <c r="G269" s="19" t="s">
        <v>1315</v>
      </c>
      <c r="H269" s="19" t="s">
        <v>328</v>
      </c>
      <c r="I269" s="19" t="s">
        <v>2225</v>
      </c>
      <c r="J269" s="19" t="s">
        <v>2213</v>
      </c>
      <c r="K269" s="19" t="s">
        <v>1340</v>
      </c>
      <c r="L269" s="19" t="s">
        <v>1341</v>
      </c>
      <c r="M269" s="19" t="s">
        <v>325</v>
      </c>
      <c r="N269" s="19"/>
      <c r="O269" s="19" t="s">
        <v>1321</v>
      </c>
    </row>
    <row r="270" customFormat="false" ht="22.35" hidden="false" customHeight="false" outlineLevel="0" collapsed="false">
      <c r="A270" s="19" t="s">
        <v>2226</v>
      </c>
      <c r="B270" s="19" t="s">
        <v>325</v>
      </c>
      <c r="C270" s="19" t="str">
        <f aca="false">IFERROR(INDEX('Agent Roster'!$B:$B,MATCH(B270,'Agent Roster'!$A:$A,0)),"UNASSIGNED")</f>
        <v>Problem-Solving Agent</v>
      </c>
      <c r="D270" s="19" t="str">
        <f aca="false">IFERROR(INDEX('Agent Roster'!$D:$D,MATCH(B270,'Agent Roster'!$A:$A,0)),"UNASSIGNED")</f>
        <v>Orchestration &amp; Diagnostics</v>
      </c>
      <c r="E270" s="19" t="s">
        <v>2210</v>
      </c>
      <c r="F270" s="19" t="s">
        <v>2227</v>
      </c>
      <c r="G270" s="19" t="s">
        <v>1315</v>
      </c>
      <c r="H270" s="19" t="s">
        <v>328</v>
      </c>
      <c r="I270" s="19" t="s">
        <v>2228</v>
      </c>
      <c r="J270" s="19" t="s">
        <v>2213</v>
      </c>
      <c r="K270" s="19" t="s">
        <v>1345</v>
      </c>
      <c r="L270" s="19" t="s">
        <v>1346</v>
      </c>
      <c r="M270" s="19" t="s">
        <v>325</v>
      </c>
      <c r="N270" s="19"/>
      <c r="O270" s="19" t="s">
        <v>1321</v>
      </c>
    </row>
    <row r="271" customFormat="false" ht="22.35" hidden="false" customHeight="false" outlineLevel="0" collapsed="false">
      <c r="A271" s="19" t="s">
        <v>2229</v>
      </c>
      <c r="B271" s="19" t="s">
        <v>325</v>
      </c>
      <c r="C271" s="19" t="str">
        <f aca="false">IFERROR(INDEX('Agent Roster'!$B:$B,MATCH(B271,'Agent Roster'!$A:$A,0)),"UNASSIGNED")</f>
        <v>Problem-Solving Agent</v>
      </c>
      <c r="D271" s="19" t="str">
        <f aca="false">IFERROR(INDEX('Agent Roster'!$D:$D,MATCH(B271,'Agent Roster'!$A:$A,0)),"UNASSIGNED")</f>
        <v>Orchestration &amp; Diagnostics</v>
      </c>
      <c r="E271" s="19" t="s">
        <v>2210</v>
      </c>
      <c r="F271" s="19" t="s">
        <v>2230</v>
      </c>
      <c r="G271" s="19" t="s">
        <v>1315</v>
      </c>
      <c r="H271" s="19" t="s">
        <v>328</v>
      </c>
      <c r="I271" s="19" t="s">
        <v>2231</v>
      </c>
      <c r="J271" s="19" t="s">
        <v>2213</v>
      </c>
      <c r="K271" s="19" t="s">
        <v>1350</v>
      </c>
      <c r="L271" s="19" t="s">
        <v>1351</v>
      </c>
      <c r="M271" s="19" t="s">
        <v>325</v>
      </c>
      <c r="N271" s="19"/>
      <c r="O271" s="19" t="s">
        <v>1321</v>
      </c>
    </row>
    <row r="272" customFormat="false" ht="22.35" hidden="false" customHeight="false" outlineLevel="0" collapsed="false">
      <c r="A272" s="19" t="s">
        <v>2232</v>
      </c>
      <c r="B272" s="19" t="s">
        <v>325</v>
      </c>
      <c r="C272" s="19" t="str">
        <f aca="false">IFERROR(INDEX('Agent Roster'!$B:$B,MATCH(B272,'Agent Roster'!$A:$A,0)),"UNASSIGNED")</f>
        <v>Problem-Solving Agent</v>
      </c>
      <c r="D272" s="19" t="str">
        <f aca="false">IFERROR(INDEX('Agent Roster'!$D:$D,MATCH(B272,'Agent Roster'!$A:$A,0)),"UNASSIGNED")</f>
        <v>Orchestration &amp; Diagnostics</v>
      </c>
      <c r="E272" s="19" t="s">
        <v>2210</v>
      </c>
      <c r="F272" s="19" t="s">
        <v>2233</v>
      </c>
      <c r="G272" s="19" t="s">
        <v>1315</v>
      </c>
      <c r="H272" s="19" t="s">
        <v>328</v>
      </c>
      <c r="I272" s="19" t="s">
        <v>2234</v>
      </c>
      <c r="J272" s="19" t="s">
        <v>2213</v>
      </c>
      <c r="K272" s="19" t="s">
        <v>1355</v>
      </c>
      <c r="L272" s="19" t="s">
        <v>1356</v>
      </c>
      <c r="M272" s="19" t="s">
        <v>325</v>
      </c>
      <c r="N272" s="19"/>
      <c r="O272" s="19" t="s">
        <v>1321</v>
      </c>
    </row>
    <row r="273" customFormat="false" ht="22.35" hidden="false" customHeight="false" outlineLevel="0" collapsed="false">
      <c r="A273" s="19" t="s">
        <v>2235</v>
      </c>
      <c r="B273" s="19" t="s">
        <v>325</v>
      </c>
      <c r="C273" s="19" t="str">
        <f aca="false">IFERROR(INDEX('Agent Roster'!$B:$B,MATCH(B273,'Agent Roster'!$A:$A,0)),"UNASSIGNED")</f>
        <v>Problem-Solving Agent</v>
      </c>
      <c r="D273" s="19" t="str">
        <f aca="false">IFERROR(INDEX('Agent Roster'!$D:$D,MATCH(B273,'Agent Roster'!$A:$A,0)),"UNASSIGNED")</f>
        <v>Orchestration &amp; Diagnostics</v>
      </c>
      <c r="E273" s="19" t="s">
        <v>2210</v>
      </c>
      <c r="F273" s="19" t="s">
        <v>2236</v>
      </c>
      <c r="G273" s="19" t="s">
        <v>1315</v>
      </c>
      <c r="H273" s="19" t="s">
        <v>328</v>
      </c>
      <c r="I273" s="19" t="s">
        <v>2237</v>
      </c>
      <c r="J273" s="19" t="s">
        <v>2213</v>
      </c>
      <c r="K273" s="19" t="s">
        <v>1360</v>
      </c>
      <c r="L273" s="19" t="s">
        <v>1361</v>
      </c>
      <c r="M273" s="19" t="s">
        <v>325</v>
      </c>
      <c r="N273" s="19"/>
      <c r="O273" s="19" t="s">
        <v>1321</v>
      </c>
    </row>
    <row r="274" customFormat="false" ht="22.35" hidden="false" customHeight="false" outlineLevel="0" collapsed="false">
      <c r="A274" s="19" t="s">
        <v>2238</v>
      </c>
      <c r="B274" s="19" t="s">
        <v>325</v>
      </c>
      <c r="C274" s="19" t="str">
        <f aca="false">IFERROR(INDEX('Agent Roster'!$B:$B,MATCH(B274,'Agent Roster'!$A:$A,0)),"UNASSIGNED")</f>
        <v>Problem-Solving Agent</v>
      </c>
      <c r="D274" s="19" t="str">
        <f aca="false">IFERROR(INDEX('Agent Roster'!$D:$D,MATCH(B274,'Agent Roster'!$A:$A,0)),"UNASSIGNED")</f>
        <v>Orchestration &amp; Diagnostics</v>
      </c>
      <c r="E274" s="19" t="s">
        <v>2210</v>
      </c>
      <c r="F274" s="19" t="s">
        <v>2239</v>
      </c>
      <c r="G274" s="19" t="s">
        <v>1315</v>
      </c>
      <c r="H274" s="19" t="s">
        <v>328</v>
      </c>
      <c r="I274" s="19" t="s">
        <v>2240</v>
      </c>
      <c r="J274" s="19" t="s">
        <v>2213</v>
      </c>
      <c r="K274" s="19" t="s">
        <v>1365</v>
      </c>
      <c r="L274" s="19" t="s">
        <v>1376</v>
      </c>
      <c r="M274" s="19" t="s">
        <v>1377</v>
      </c>
      <c r="N274" s="19"/>
      <c r="O274" s="19" t="s">
        <v>1321</v>
      </c>
    </row>
    <row r="275" customFormat="false" ht="22.35" hidden="false" customHeight="false" outlineLevel="0" collapsed="false">
      <c r="A275" s="19" t="s">
        <v>2241</v>
      </c>
      <c r="B275" s="19" t="s">
        <v>336</v>
      </c>
      <c r="C275" s="19" t="str">
        <f aca="false">IFERROR(INDEX('Agent Roster'!$B:$B,MATCH(B275,'Agent Roster'!$A:$A,0)),"UNASSIGNED")</f>
        <v>Critical Thinking / Claim Evaluator</v>
      </c>
      <c r="D275" s="19" t="str">
        <f aca="false">IFERROR(INDEX('Agent Roster'!$D:$D,MATCH(B275,'Agent Roster'!$A:$A,0)),"UNASSIGNED")</f>
        <v>Orchestration &amp; Diagnostics</v>
      </c>
      <c r="E275" s="19" t="s">
        <v>2242</v>
      </c>
      <c r="F275" s="19" t="s">
        <v>2243</v>
      </c>
      <c r="G275" s="19" t="s">
        <v>1315</v>
      </c>
      <c r="H275" s="19" t="s">
        <v>339</v>
      </c>
      <c r="I275" s="19" t="s">
        <v>2244</v>
      </c>
      <c r="J275" s="19" t="s">
        <v>2245</v>
      </c>
      <c r="K275" s="19" t="s">
        <v>1319</v>
      </c>
      <c r="L275" s="19" t="s">
        <v>1320</v>
      </c>
      <c r="M275" s="19" t="s">
        <v>336</v>
      </c>
      <c r="N275" s="19"/>
      <c r="O275" s="19" t="s">
        <v>1321</v>
      </c>
    </row>
    <row r="276" customFormat="false" ht="22.35" hidden="false" customHeight="false" outlineLevel="0" collapsed="false">
      <c r="A276" s="19" t="s">
        <v>2246</v>
      </c>
      <c r="B276" s="19" t="s">
        <v>336</v>
      </c>
      <c r="C276" s="19" t="str">
        <f aca="false">IFERROR(INDEX('Agent Roster'!$B:$B,MATCH(B276,'Agent Roster'!$A:$A,0)),"UNASSIGNED")</f>
        <v>Critical Thinking / Claim Evaluator</v>
      </c>
      <c r="D276" s="19" t="str">
        <f aca="false">IFERROR(INDEX('Agent Roster'!$D:$D,MATCH(B276,'Agent Roster'!$A:$A,0)),"UNASSIGNED")</f>
        <v>Orchestration &amp; Diagnostics</v>
      </c>
      <c r="E276" s="19" t="s">
        <v>2242</v>
      </c>
      <c r="F276" s="19" t="s">
        <v>2247</v>
      </c>
      <c r="G276" s="19" t="s">
        <v>1315</v>
      </c>
      <c r="H276" s="19" t="s">
        <v>339</v>
      </c>
      <c r="I276" s="19" t="s">
        <v>2248</v>
      </c>
      <c r="J276" s="19" t="s">
        <v>2245</v>
      </c>
      <c r="K276" s="19" t="s">
        <v>1325</v>
      </c>
      <c r="L276" s="19" t="s">
        <v>1326</v>
      </c>
      <c r="M276" s="19" t="s">
        <v>336</v>
      </c>
      <c r="N276" s="19"/>
      <c r="O276" s="19" t="s">
        <v>1321</v>
      </c>
    </row>
    <row r="277" customFormat="false" ht="22.35" hidden="false" customHeight="false" outlineLevel="0" collapsed="false">
      <c r="A277" s="19" t="s">
        <v>2249</v>
      </c>
      <c r="B277" s="19" t="s">
        <v>336</v>
      </c>
      <c r="C277" s="19" t="str">
        <f aca="false">IFERROR(INDEX('Agent Roster'!$B:$B,MATCH(B277,'Agent Roster'!$A:$A,0)),"UNASSIGNED")</f>
        <v>Critical Thinking / Claim Evaluator</v>
      </c>
      <c r="D277" s="19" t="str">
        <f aca="false">IFERROR(INDEX('Agent Roster'!$D:$D,MATCH(B277,'Agent Roster'!$A:$A,0)),"UNASSIGNED")</f>
        <v>Orchestration &amp; Diagnostics</v>
      </c>
      <c r="E277" s="19" t="s">
        <v>2242</v>
      </c>
      <c r="F277" s="19" t="s">
        <v>2250</v>
      </c>
      <c r="G277" s="19" t="s">
        <v>1315</v>
      </c>
      <c r="H277" s="19" t="s">
        <v>339</v>
      </c>
      <c r="I277" s="19" t="s">
        <v>2251</v>
      </c>
      <c r="J277" s="19" t="s">
        <v>2245</v>
      </c>
      <c r="K277" s="19" t="s">
        <v>1330</v>
      </c>
      <c r="L277" s="19" t="s">
        <v>1331</v>
      </c>
      <c r="M277" s="19" t="s">
        <v>336</v>
      </c>
      <c r="N277" s="19"/>
      <c r="O277" s="19" t="s">
        <v>1321</v>
      </c>
    </row>
    <row r="278" customFormat="false" ht="22.35" hidden="false" customHeight="false" outlineLevel="0" collapsed="false">
      <c r="A278" s="19" t="s">
        <v>2252</v>
      </c>
      <c r="B278" s="19" t="s">
        <v>336</v>
      </c>
      <c r="C278" s="19" t="str">
        <f aca="false">IFERROR(INDEX('Agent Roster'!$B:$B,MATCH(B278,'Agent Roster'!$A:$A,0)),"UNASSIGNED")</f>
        <v>Critical Thinking / Claim Evaluator</v>
      </c>
      <c r="D278" s="19" t="str">
        <f aca="false">IFERROR(INDEX('Agent Roster'!$D:$D,MATCH(B278,'Agent Roster'!$A:$A,0)),"UNASSIGNED")</f>
        <v>Orchestration &amp; Diagnostics</v>
      </c>
      <c r="E278" s="19" t="s">
        <v>2242</v>
      </c>
      <c r="F278" s="19" t="s">
        <v>2253</v>
      </c>
      <c r="G278" s="19" t="s">
        <v>1315</v>
      </c>
      <c r="H278" s="19" t="s">
        <v>339</v>
      </c>
      <c r="I278" s="19" t="s">
        <v>2254</v>
      </c>
      <c r="J278" s="19" t="s">
        <v>2245</v>
      </c>
      <c r="K278" s="19" t="s">
        <v>1335</v>
      </c>
      <c r="L278" s="19" t="s">
        <v>1336</v>
      </c>
      <c r="M278" s="19" t="s">
        <v>336</v>
      </c>
      <c r="N278" s="19"/>
      <c r="O278" s="19" t="s">
        <v>1321</v>
      </c>
    </row>
    <row r="279" customFormat="false" ht="22.35" hidden="false" customHeight="false" outlineLevel="0" collapsed="false">
      <c r="A279" s="19" t="s">
        <v>2255</v>
      </c>
      <c r="B279" s="19" t="s">
        <v>336</v>
      </c>
      <c r="C279" s="19" t="str">
        <f aca="false">IFERROR(INDEX('Agent Roster'!$B:$B,MATCH(B279,'Agent Roster'!$A:$A,0)),"UNASSIGNED")</f>
        <v>Critical Thinking / Claim Evaluator</v>
      </c>
      <c r="D279" s="19" t="str">
        <f aca="false">IFERROR(INDEX('Agent Roster'!$D:$D,MATCH(B279,'Agent Roster'!$A:$A,0)),"UNASSIGNED")</f>
        <v>Orchestration &amp; Diagnostics</v>
      </c>
      <c r="E279" s="19" t="s">
        <v>2242</v>
      </c>
      <c r="F279" s="19" t="s">
        <v>2256</v>
      </c>
      <c r="G279" s="19" t="s">
        <v>1315</v>
      </c>
      <c r="H279" s="19" t="s">
        <v>339</v>
      </c>
      <c r="I279" s="19" t="s">
        <v>2257</v>
      </c>
      <c r="J279" s="19" t="s">
        <v>2245</v>
      </c>
      <c r="K279" s="19" t="s">
        <v>1340</v>
      </c>
      <c r="L279" s="19" t="s">
        <v>1341</v>
      </c>
      <c r="M279" s="19" t="s">
        <v>336</v>
      </c>
      <c r="N279" s="19"/>
      <c r="O279" s="19" t="s">
        <v>1321</v>
      </c>
    </row>
    <row r="280" customFormat="false" ht="22.35" hidden="false" customHeight="false" outlineLevel="0" collapsed="false">
      <c r="A280" s="19" t="s">
        <v>2258</v>
      </c>
      <c r="B280" s="19" t="s">
        <v>336</v>
      </c>
      <c r="C280" s="19" t="str">
        <f aca="false">IFERROR(INDEX('Agent Roster'!$B:$B,MATCH(B280,'Agent Roster'!$A:$A,0)),"UNASSIGNED")</f>
        <v>Critical Thinking / Claim Evaluator</v>
      </c>
      <c r="D280" s="19" t="str">
        <f aca="false">IFERROR(INDEX('Agent Roster'!$D:$D,MATCH(B280,'Agent Roster'!$A:$A,0)),"UNASSIGNED")</f>
        <v>Orchestration &amp; Diagnostics</v>
      </c>
      <c r="E280" s="19" t="s">
        <v>2242</v>
      </c>
      <c r="F280" s="19" t="s">
        <v>2259</v>
      </c>
      <c r="G280" s="19" t="s">
        <v>1315</v>
      </c>
      <c r="H280" s="19" t="s">
        <v>339</v>
      </c>
      <c r="I280" s="19" t="s">
        <v>2260</v>
      </c>
      <c r="J280" s="19" t="s">
        <v>2245</v>
      </c>
      <c r="K280" s="19" t="s">
        <v>1345</v>
      </c>
      <c r="L280" s="19" t="s">
        <v>1346</v>
      </c>
      <c r="M280" s="19" t="s">
        <v>336</v>
      </c>
      <c r="N280" s="19"/>
      <c r="O280" s="19" t="s">
        <v>1321</v>
      </c>
    </row>
    <row r="281" customFormat="false" ht="22.35" hidden="false" customHeight="false" outlineLevel="0" collapsed="false">
      <c r="A281" s="19" t="s">
        <v>2261</v>
      </c>
      <c r="B281" s="19" t="s">
        <v>336</v>
      </c>
      <c r="C281" s="19" t="str">
        <f aca="false">IFERROR(INDEX('Agent Roster'!$B:$B,MATCH(B281,'Agent Roster'!$A:$A,0)),"UNASSIGNED")</f>
        <v>Critical Thinking / Claim Evaluator</v>
      </c>
      <c r="D281" s="19" t="str">
        <f aca="false">IFERROR(INDEX('Agent Roster'!$D:$D,MATCH(B281,'Agent Roster'!$A:$A,0)),"UNASSIGNED")</f>
        <v>Orchestration &amp; Diagnostics</v>
      </c>
      <c r="E281" s="19" t="s">
        <v>2242</v>
      </c>
      <c r="F281" s="19" t="s">
        <v>2262</v>
      </c>
      <c r="G281" s="19" t="s">
        <v>1315</v>
      </c>
      <c r="H281" s="19" t="s">
        <v>339</v>
      </c>
      <c r="I281" s="19" t="s">
        <v>2263</v>
      </c>
      <c r="J281" s="19" t="s">
        <v>2245</v>
      </c>
      <c r="K281" s="19" t="s">
        <v>1350</v>
      </c>
      <c r="L281" s="19" t="s">
        <v>1351</v>
      </c>
      <c r="M281" s="19" t="s">
        <v>336</v>
      </c>
      <c r="N281" s="19"/>
      <c r="O281" s="19" t="s">
        <v>1321</v>
      </c>
    </row>
    <row r="282" customFormat="false" ht="22.35" hidden="false" customHeight="false" outlineLevel="0" collapsed="false">
      <c r="A282" s="19" t="s">
        <v>2264</v>
      </c>
      <c r="B282" s="19" t="s">
        <v>336</v>
      </c>
      <c r="C282" s="19" t="str">
        <f aca="false">IFERROR(INDEX('Agent Roster'!$B:$B,MATCH(B282,'Agent Roster'!$A:$A,0)),"UNASSIGNED")</f>
        <v>Critical Thinking / Claim Evaluator</v>
      </c>
      <c r="D282" s="19" t="str">
        <f aca="false">IFERROR(INDEX('Agent Roster'!$D:$D,MATCH(B282,'Agent Roster'!$A:$A,0)),"UNASSIGNED")</f>
        <v>Orchestration &amp; Diagnostics</v>
      </c>
      <c r="E282" s="19" t="s">
        <v>2242</v>
      </c>
      <c r="F282" s="19" t="s">
        <v>2265</v>
      </c>
      <c r="G282" s="19" t="s">
        <v>1315</v>
      </c>
      <c r="H282" s="19" t="s">
        <v>339</v>
      </c>
      <c r="I282" s="19" t="s">
        <v>2266</v>
      </c>
      <c r="J282" s="19" t="s">
        <v>2245</v>
      </c>
      <c r="K282" s="19" t="s">
        <v>1355</v>
      </c>
      <c r="L282" s="19" t="s">
        <v>1356</v>
      </c>
      <c r="M282" s="19" t="s">
        <v>336</v>
      </c>
      <c r="N282" s="19"/>
      <c r="O282" s="19" t="s">
        <v>1321</v>
      </c>
    </row>
    <row r="283" customFormat="false" ht="22.35" hidden="false" customHeight="false" outlineLevel="0" collapsed="false">
      <c r="A283" s="19" t="s">
        <v>2267</v>
      </c>
      <c r="B283" s="19" t="s">
        <v>336</v>
      </c>
      <c r="C283" s="19" t="str">
        <f aca="false">IFERROR(INDEX('Agent Roster'!$B:$B,MATCH(B283,'Agent Roster'!$A:$A,0)),"UNASSIGNED")</f>
        <v>Critical Thinking / Claim Evaluator</v>
      </c>
      <c r="D283" s="19" t="str">
        <f aca="false">IFERROR(INDEX('Agent Roster'!$D:$D,MATCH(B283,'Agent Roster'!$A:$A,0)),"UNASSIGNED")</f>
        <v>Orchestration &amp; Diagnostics</v>
      </c>
      <c r="E283" s="19" t="s">
        <v>2242</v>
      </c>
      <c r="F283" s="19" t="s">
        <v>2268</v>
      </c>
      <c r="G283" s="19" t="s">
        <v>1315</v>
      </c>
      <c r="H283" s="19" t="s">
        <v>339</v>
      </c>
      <c r="I283" s="19" t="s">
        <v>2269</v>
      </c>
      <c r="J283" s="19" t="s">
        <v>2245</v>
      </c>
      <c r="K283" s="19" t="s">
        <v>1360</v>
      </c>
      <c r="L283" s="19" t="s">
        <v>1376</v>
      </c>
      <c r="M283" s="19" t="s">
        <v>1377</v>
      </c>
      <c r="N283" s="19"/>
      <c r="O283" s="19" t="s">
        <v>1321</v>
      </c>
    </row>
    <row r="284" customFormat="false" ht="22.35" hidden="false" customHeight="false" outlineLevel="0" collapsed="false">
      <c r="A284" s="19" t="s">
        <v>2270</v>
      </c>
      <c r="B284" s="19" t="s">
        <v>1290</v>
      </c>
      <c r="C284" s="19" t="str">
        <f aca="false">IFERROR(INDEX('Agent Roster'!$B:$B,MATCH(B284,'Agent Roster'!$A:$A,0)),"UNASSIGNED")</f>
        <v>Knowledge Base Librarian (Memory &amp; Recall)</v>
      </c>
      <c r="D284" s="19" t="str">
        <f aca="false">IFERROR(INDEX('Agent Roster'!$D:$D,MATCH(B284,'Agent Roster'!$A:$A,0)),"UNASSIGNED")</f>
        <v>9 · Content Hub</v>
      </c>
      <c r="E284" s="19" t="s">
        <v>2271</v>
      </c>
      <c r="F284" s="19" t="s">
        <v>2272</v>
      </c>
      <c r="G284" s="19" t="s">
        <v>1315</v>
      </c>
      <c r="H284" s="19" t="s">
        <v>2273</v>
      </c>
      <c r="I284" s="19" t="s">
        <v>2274</v>
      </c>
      <c r="J284" s="19" t="s">
        <v>2275</v>
      </c>
      <c r="K284" s="19" t="s">
        <v>1319</v>
      </c>
      <c r="L284" s="19" t="s">
        <v>1320</v>
      </c>
      <c r="M284" s="19" t="s">
        <v>1290</v>
      </c>
      <c r="N284" s="19"/>
      <c r="O284" s="19" t="s">
        <v>1321</v>
      </c>
    </row>
    <row r="285" customFormat="false" ht="22.35" hidden="false" customHeight="false" outlineLevel="0" collapsed="false">
      <c r="A285" s="19" t="s">
        <v>2276</v>
      </c>
      <c r="B285" s="19" t="s">
        <v>1290</v>
      </c>
      <c r="C285" s="19" t="str">
        <f aca="false">IFERROR(INDEX('Agent Roster'!$B:$B,MATCH(B285,'Agent Roster'!$A:$A,0)),"UNASSIGNED")</f>
        <v>Knowledge Base Librarian (Memory &amp; Recall)</v>
      </c>
      <c r="D285" s="19" t="str">
        <f aca="false">IFERROR(INDEX('Agent Roster'!$D:$D,MATCH(B285,'Agent Roster'!$A:$A,0)),"UNASSIGNED")</f>
        <v>9 · Content Hub</v>
      </c>
      <c r="E285" s="19" t="s">
        <v>2271</v>
      </c>
      <c r="F285" s="19" t="s">
        <v>2277</v>
      </c>
      <c r="G285" s="19" t="s">
        <v>1315</v>
      </c>
      <c r="H285" s="19" t="s">
        <v>2273</v>
      </c>
      <c r="I285" s="19" t="s">
        <v>2278</v>
      </c>
      <c r="J285" s="19" t="s">
        <v>2275</v>
      </c>
      <c r="K285" s="19" t="s">
        <v>1325</v>
      </c>
      <c r="L285" s="19" t="s">
        <v>1326</v>
      </c>
      <c r="M285" s="19" t="s">
        <v>1290</v>
      </c>
      <c r="N285" s="19"/>
      <c r="O285" s="19" t="s">
        <v>1321</v>
      </c>
    </row>
    <row r="286" customFormat="false" ht="22.35" hidden="false" customHeight="false" outlineLevel="0" collapsed="false">
      <c r="A286" s="19" t="s">
        <v>2279</v>
      </c>
      <c r="B286" s="19" t="s">
        <v>1290</v>
      </c>
      <c r="C286" s="19" t="str">
        <f aca="false">IFERROR(INDEX('Agent Roster'!$B:$B,MATCH(B286,'Agent Roster'!$A:$A,0)),"UNASSIGNED")</f>
        <v>Knowledge Base Librarian (Memory &amp; Recall)</v>
      </c>
      <c r="D286" s="19" t="str">
        <f aca="false">IFERROR(INDEX('Agent Roster'!$D:$D,MATCH(B286,'Agent Roster'!$A:$A,0)),"UNASSIGNED")</f>
        <v>9 · Content Hub</v>
      </c>
      <c r="E286" s="19" t="s">
        <v>2271</v>
      </c>
      <c r="F286" s="19" t="s">
        <v>2280</v>
      </c>
      <c r="G286" s="19" t="s">
        <v>1315</v>
      </c>
      <c r="H286" s="19" t="s">
        <v>2273</v>
      </c>
      <c r="I286" s="19" t="s">
        <v>2281</v>
      </c>
      <c r="J286" s="19" t="s">
        <v>2275</v>
      </c>
      <c r="K286" s="19" t="s">
        <v>1330</v>
      </c>
      <c r="L286" s="19" t="s">
        <v>1331</v>
      </c>
      <c r="M286" s="19" t="s">
        <v>1290</v>
      </c>
      <c r="N286" s="19"/>
      <c r="O286" s="19" t="s">
        <v>1321</v>
      </c>
    </row>
    <row r="287" customFormat="false" ht="22.35" hidden="false" customHeight="false" outlineLevel="0" collapsed="false">
      <c r="A287" s="19" t="s">
        <v>2282</v>
      </c>
      <c r="B287" s="19" t="s">
        <v>1290</v>
      </c>
      <c r="C287" s="19" t="str">
        <f aca="false">IFERROR(INDEX('Agent Roster'!$B:$B,MATCH(B287,'Agent Roster'!$A:$A,0)),"UNASSIGNED")</f>
        <v>Knowledge Base Librarian (Memory &amp; Recall)</v>
      </c>
      <c r="D287" s="19" t="str">
        <f aca="false">IFERROR(INDEX('Agent Roster'!$D:$D,MATCH(B287,'Agent Roster'!$A:$A,0)),"UNASSIGNED")</f>
        <v>9 · Content Hub</v>
      </c>
      <c r="E287" s="19" t="s">
        <v>2271</v>
      </c>
      <c r="F287" s="19" t="s">
        <v>2283</v>
      </c>
      <c r="G287" s="19" t="s">
        <v>1315</v>
      </c>
      <c r="H287" s="19" t="s">
        <v>2273</v>
      </c>
      <c r="I287" s="19" t="s">
        <v>2284</v>
      </c>
      <c r="J287" s="19" t="s">
        <v>2275</v>
      </c>
      <c r="K287" s="19" t="s">
        <v>1335</v>
      </c>
      <c r="L287" s="19" t="s">
        <v>1336</v>
      </c>
      <c r="M287" s="19" t="s">
        <v>1290</v>
      </c>
      <c r="N287" s="19"/>
      <c r="O287" s="19" t="s">
        <v>1321</v>
      </c>
    </row>
    <row r="288" customFormat="false" ht="22.35" hidden="false" customHeight="false" outlineLevel="0" collapsed="false">
      <c r="A288" s="19" t="s">
        <v>2285</v>
      </c>
      <c r="B288" s="19" t="s">
        <v>1290</v>
      </c>
      <c r="C288" s="19" t="str">
        <f aca="false">IFERROR(INDEX('Agent Roster'!$B:$B,MATCH(B288,'Agent Roster'!$A:$A,0)),"UNASSIGNED")</f>
        <v>Knowledge Base Librarian (Memory &amp; Recall)</v>
      </c>
      <c r="D288" s="19" t="str">
        <f aca="false">IFERROR(INDEX('Agent Roster'!$D:$D,MATCH(B288,'Agent Roster'!$A:$A,0)),"UNASSIGNED")</f>
        <v>9 · Content Hub</v>
      </c>
      <c r="E288" s="19" t="s">
        <v>2271</v>
      </c>
      <c r="F288" s="19" t="s">
        <v>2286</v>
      </c>
      <c r="G288" s="19" t="s">
        <v>1315</v>
      </c>
      <c r="H288" s="19" t="s">
        <v>2273</v>
      </c>
      <c r="I288" s="19" t="s">
        <v>2287</v>
      </c>
      <c r="J288" s="19" t="s">
        <v>2275</v>
      </c>
      <c r="K288" s="19" t="s">
        <v>1340</v>
      </c>
      <c r="L288" s="19" t="s">
        <v>1341</v>
      </c>
      <c r="M288" s="19" t="s">
        <v>1290</v>
      </c>
      <c r="N288" s="19"/>
      <c r="O288" s="19" t="s">
        <v>1321</v>
      </c>
    </row>
    <row r="289" customFormat="false" ht="22.35" hidden="false" customHeight="false" outlineLevel="0" collapsed="false">
      <c r="A289" s="19" t="s">
        <v>2288</v>
      </c>
      <c r="B289" s="19" t="s">
        <v>1290</v>
      </c>
      <c r="C289" s="19" t="str">
        <f aca="false">IFERROR(INDEX('Agent Roster'!$B:$B,MATCH(B289,'Agent Roster'!$A:$A,0)),"UNASSIGNED")</f>
        <v>Knowledge Base Librarian (Memory &amp; Recall)</v>
      </c>
      <c r="D289" s="19" t="str">
        <f aca="false">IFERROR(INDEX('Agent Roster'!$D:$D,MATCH(B289,'Agent Roster'!$A:$A,0)),"UNASSIGNED")</f>
        <v>9 · Content Hub</v>
      </c>
      <c r="E289" s="19" t="s">
        <v>2271</v>
      </c>
      <c r="F289" s="19" t="s">
        <v>2289</v>
      </c>
      <c r="G289" s="19" t="s">
        <v>1315</v>
      </c>
      <c r="H289" s="19" t="s">
        <v>2273</v>
      </c>
      <c r="I289" s="19" t="s">
        <v>2290</v>
      </c>
      <c r="J289" s="19" t="s">
        <v>2275</v>
      </c>
      <c r="K289" s="19" t="s">
        <v>1345</v>
      </c>
      <c r="L289" s="19" t="s">
        <v>1346</v>
      </c>
      <c r="M289" s="19" t="s">
        <v>1290</v>
      </c>
      <c r="N289" s="19"/>
      <c r="O289" s="19" t="s">
        <v>1321</v>
      </c>
    </row>
    <row r="290" customFormat="false" ht="22.35" hidden="false" customHeight="false" outlineLevel="0" collapsed="false">
      <c r="A290" s="19" t="s">
        <v>2291</v>
      </c>
      <c r="B290" s="19" t="s">
        <v>1290</v>
      </c>
      <c r="C290" s="19" t="str">
        <f aca="false">IFERROR(INDEX('Agent Roster'!$B:$B,MATCH(B290,'Agent Roster'!$A:$A,0)),"UNASSIGNED")</f>
        <v>Knowledge Base Librarian (Memory &amp; Recall)</v>
      </c>
      <c r="D290" s="19" t="str">
        <f aca="false">IFERROR(INDEX('Agent Roster'!$D:$D,MATCH(B290,'Agent Roster'!$A:$A,0)),"UNASSIGNED")</f>
        <v>9 · Content Hub</v>
      </c>
      <c r="E290" s="19" t="s">
        <v>2271</v>
      </c>
      <c r="F290" s="19" t="s">
        <v>2292</v>
      </c>
      <c r="G290" s="19" t="s">
        <v>1315</v>
      </c>
      <c r="H290" s="19" t="s">
        <v>2273</v>
      </c>
      <c r="I290" s="19" t="s">
        <v>2293</v>
      </c>
      <c r="J290" s="19" t="s">
        <v>2275</v>
      </c>
      <c r="K290" s="19" t="s">
        <v>1350</v>
      </c>
      <c r="L290" s="19" t="s">
        <v>1376</v>
      </c>
      <c r="M290" s="19" t="s">
        <v>1377</v>
      </c>
      <c r="N290" s="19"/>
      <c r="O290" s="19" t="s">
        <v>1321</v>
      </c>
    </row>
    <row r="291" customFormat="false" ht="15" hidden="false" customHeight="false" outlineLevel="0" collapsed="false">
      <c r="A291" s="19" t="s">
        <v>2294</v>
      </c>
      <c r="B291" s="19" t="s">
        <v>1210</v>
      </c>
      <c r="C291" s="19" t="str">
        <f aca="false">IFERROR(INDEX('Agent Roster'!$B:$B,MATCH(B291,'Agent Roster'!$A:$A,0)),"UNASSIGNED")</f>
        <v>IP Creation Agent</v>
      </c>
      <c r="D291" s="19" t="str">
        <f aca="false">IFERROR(INDEX('Agent Roster'!$D:$D,MATCH(B291,'Agent Roster'!$A:$A,0)),"UNASSIGNED")</f>
        <v>9 · Content Hub</v>
      </c>
      <c r="E291" s="19" t="s">
        <v>2295</v>
      </c>
      <c r="F291" s="19" t="s">
        <v>2296</v>
      </c>
      <c r="G291" s="19" t="s">
        <v>1315</v>
      </c>
      <c r="H291" s="19" t="s">
        <v>1213</v>
      </c>
      <c r="I291" s="19" t="s">
        <v>2297</v>
      </c>
      <c r="J291" s="19" t="s">
        <v>2298</v>
      </c>
      <c r="K291" s="19" t="s">
        <v>1319</v>
      </c>
      <c r="L291" s="19" t="s">
        <v>1320</v>
      </c>
      <c r="M291" s="19" t="s">
        <v>1210</v>
      </c>
      <c r="N291" s="19"/>
      <c r="O291" s="19" t="s">
        <v>1321</v>
      </c>
    </row>
    <row r="292" customFormat="false" ht="22.35" hidden="false" customHeight="false" outlineLevel="0" collapsed="false">
      <c r="A292" s="19" t="s">
        <v>2299</v>
      </c>
      <c r="B292" s="19" t="s">
        <v>1210</v>
      </c>
      <c r="C292" s="19" t="str">
        <f aca="false">IFERROR(INDEX('Agent Roster'!$B:$B,MATCH(B292,'Agent Roster'!$A:$A,0)),"UNASSIGNED")</f>
        <v>IP Creation Agent</v>
      </c>
      <c r="D292" s="19" t="str">
        <f aca="false">IFERROR(INDEX('Agent Roster'!$D:$D,MATCH(B292,'Agent Roster'!$A:$A,0)),"UNASSIGNED")</f>
        <v>9 · Content Hub</v>
      </c>
      <c r="E292" s="19" t="s">
        <v>2295</v>
      </c>
      <c r="F292" s="19" t="s">
        <v>2300</v>
      </c>
      <c r="G292" s="19" t="s">
        <v>1315</v>
      </c>
      <c r="H292" s="19" t="s">
        <v>1213</v>
      </c>
      <c r="I292" s="19" t="s">
        <v>2301</v>
      </c>
      <c r="J292" s="19" t="s">
        <v>2298</v>
      </c>
      <c r="K292" s="19" t="s">
        <v>1325</v>
      </c>
      <c r="L292" s="19" t="s">
        <v>1326</v>
      </c>
      <c r="M292" s="19" t="s">
        <v>1210</v>
      </c>
      <c r="N292" s="19"/>
      <c r="O292" s="19" t="s">
        <v>1321</v>
      </c>
    </row>
    <row r="293" customFormat="false" ht="22.35" hidden="false" customHeight="false" outlineLevel="0" collapsed="false">
      <c r="A293" s="19" t="s">
        <v>2302</v>
      </c>
      <c r="B293" s="19" t="s">
        <v>1210</v>
      </c>
      <c r="C293" s="19" t="str">
        <f aca="false">IFERROR(INDEX('Agent Roster'!$B:$B,MATCH(B293,'Agent Roster'!$A:$A,0)),"UNASSIGNED")</f>
        <v>IP Creation Agent</v>
      </c>
      <c r="D293" s="19" t="str">
        <f aca="false">IFERROR(INDEX('Agent Roster'!$D:$D,MATCH(B293,'Agent Roster'!$A:$A,0)),"UNASSIGNED")</f>
        <v>9 · Content Hub</v>
      </c>
      <c r="E293" s="19" t="s">
        <v>2295</v>
      </c>
      <c r="F293" s="19" t="s">
        <v>2303</v>
      </c>
      <c r="G293" s="19" t="s">
        <v>1315</v>
      </c>
      <c r="H293" s="19" t="s">
        <v>1213</v>
      </c>
      <c r="I293" s="19" t="s">
        <v>2304</v>
      </c>
      <c r="J293" s="19" t="s">
        <v>2298</v>
      </c>
      <c r="K293" s="19" t="s">
        <v>1330</v>
      </c>
      <c r="L293" s="19" t="s">
        <v>1331</v>
      </c>
      <c r="M293" s="19" t="s">
        <v>1210</v>
      </c>
      <c r="N293" s="19"/>
      <c r="O293" s="19" t="s">
        <v>1321</v>
      </c>
    </row>
    <row r="294" customFormat="false" ht="22.35" hidden="false" customHeight="false" outlineLevel="0" collapsed="false">
      <c r="A294" s="19" t="s">
        <v>2305</v>
      </c>
      <c r="B294" s="19" t="s">
        <v>1210</v>
      </c>
      <c r="C294" s="19" t="str">
        <f aca="false">IFERROR(INDEX('Agent Roster'!$B:$B,MATCH(B294,'Agent Roster'!$A:$A,0)),"UNASSIGNED")</f>
        <v>IP Creation Agent</v>
      </c>
      <c r="D294" s="19" t="str">
        <f aca="false">IFERROR(INDEX('Agent Roster'!$D:$D,MATCH(B294,'Agent Roster'!$A:$A,0)),"UNASSIGNED")</f>
        <v>9 · Content Hub</v>
      </c>
      <c r="E294" s="19" t="s">
        <v>2295</v>
      </c>
      <c r="F294" s="19" t="s">
        <v>2306</v>
      </c>
      <c r="G294" s="19" t="s">
        <v>1315</v>
      </c>
      <c r="H294" s="19" t="s">
        <v>1213</v>
      </c>
      <c r="I294" s="19" t="s">
        <v>2307</v>
      </c>
      <c r="J294" s="19" t="s">
        <v>2298</v>
      </c>
      <c r="K294" s="19" t="s">
        <v>1335</v>
      </c>
      <c r="L294" s="19" t="s">
        <v>1336</v>
      </c>
      <c r="M294" s="19" t="s">
        <v>1210</v>
      </c>
      <c r="N294" s="19"/>
      <c r="O294" s="19" t="s">
        <v>1321</v>
      </c>
    </row>
    <row r="295" customFormat="false" ht="15" hidden="false" customHeight="false" outlineLevel="0" collapsed="false">
      <c r="A295" s="19" t="s">
        <v>2308</v>
      </c>
      <c r="B295" s="19" t="s">
        <v>1210</v>
      </c>
      <c r="C295" s="19" t="str">
        <f aca="false">IFERROR(INDEX('Agent Roster'!$B:$B,MATCH(B295,'Agent Roster'!$A:$A,0)),"UNASSIGNED")</f>
        <v>IP Creation Agent</v>
      </c>
      <c r="D295" s="19" t="str">
        <f aca="false">IFERROR(INDEX('Agent Roster'!$D:$D,MATCH(B295,'Agent Roster'!$A:$A,0)),"UNASSIGNED")</f>
        <v>9 · Content Hub</v>
      </c>
      <c r="E295" s="19" t="s">
        <v>2295</v>
      </c>
      <c r="F295" s="19" t="s">
        <v>2309</v>
      </c>
      <c r="G295" s="19" t="s">
        <v>1315</v>
      </c>
      <c r="H295" s="19" t="s">
        <v>1213</v>
      </c>
      <c r="I295" s="19" t="s">
        <v>2310</v>
      </c>
      <c r="J295" s="19" t="s">
        <v>2298</v>
      </c>
      <c r="K295" s="19" t="s">
        <v>1340</v>
      </c>
      <c r="L295" s="19" t="s">
        <v>1341</v>
      </c>
      <c r="M295" s="19" t="s">
        <v>1210</v>
      </c>
      <c r="N295" s="19"/>
      <c r="O295" s="19" t="s">
        <v>1321</v>
      </c>
    </row>
    <row r="296" customFormat="false" ht="15" hidden="false" customHeight="false" outlineLevel="0" collapsed="false">
      <c r="A296" s="19" t="s">
        <v>2311</v>
      </c>
      <c r="B296" s="19" t="s">
        <v>1210</v>
      </c>
      <c r="C296" s="19" t="str">
        <f aca="false">IFERROR(INDEX('Agent Roster'!$B:$B,MATCH(B296,'Agent Roster'!$A:$A,0)),"UNASSIGNED")</f>
        <v>IP Creation Agent</v>
      </c>
      <c r="D296" s="19" t="str">
        <f aca="false">IFERROR(INDEX('Agent Roster'!$D:$D,MATCH(B296,'Agent Roster'!$A:$A,0)),"UNASSIGNED")</f>
        <v>9 · Content Hub</v>
      </c>
      <c r="E296" s="19" t="s">
        <v>2295</v>
      </c>
      <c r="F296" s="19" t="s">
        <v>2312</v>
      </c>
      <c r="G296" s="19" t="s">
        <v>1315</v>
      </c>
      <c r="H296" s="19" t="s">
        <v>1213</v>
      </c>
      <c r="I296" s="19" t="s">
        <v>2313</v>
      </c>
      <c r="J296" s="19" t="s">
        <v>2298</v>
      </c>
      <c r="K296" s="19" t="s">
        <v>1345</v>
      </c>
      <c r="L296" s="19" t="s">
        <v>1346</v>
      </c>
      <c r="M296" s="19" t="s">
        <v>1210</v>
      </c>
      <c r="N296" s="19"/>
      <c r="O296" s="19" t="s">
        <v>1321</v>
      </c>
    </row>
    <row r="297" customFormat="false" ht="15" hidden="false" customHeight="false" outlineLevel="0" collapsed="false">
      <c r="A297" s="19" t="s">
        <v>2314</v>
      </c>
      <c r="B297" s="19" t="s">
        <v>1210</v>
      </c>
      <c r="C297" s="19" t="str">
        <f aca="false">IFERROR(INDEX('Agent Roster'!$B:$B,MATCH(B297,'Agent Roster'!$A:$A,0)),"UNASSIGNED")</f>
        <v>IP Creation Agent</v>
      </c>
      <c r="D297" s="19" t="str">
        <f aca="false">IFERROR(INDEX('Agent Roster'!$D:$D,MATCH(B297,'Agent Roster'!$A:$A,0)),"UNASSIGNED")</f>
        <v>9 · Content Hub</v>
      </c>
      <c r="E297" s="19" t="s">
        <v>2295</v>
      </c>
      <c r="F297" s="19" t="s">
        <v>2315</v>
      </c>
      <c r="G297" s="19" t="s">
        <v>1315</v>
      </c>
      <c r="H297" s="19" t="s">
        <v>1213</v>
      </c>
      <c r="I297" s="19" t="s">
        <v>2316</v>
      </c>
      <c r="J297" s="19" t="s">
        <v>2298</v>
      </c>
      <c r="K297" s="19" t="s">
        <v>1350</v>
      </c>
      <c r="L297" s="19" t="s">
        <v>1351</v>
      </c>
      <c r="M297" s="19" t="s">
        <v>1210</v>
      </c>
      <c r="N297" s="19"/>
      <c r="O297" s="19" t="s">
        <v>1321</v>
      </c>
    </row>
    <row r="298" customFormat="false" ht="32.8" hidden="false" customHeight="false" outlineLevel="0" collapsed="false">
      <c r="A298" s="19" t="s">
        <v>2317</v>
      </c>
      <c r="B298" s="19" t="s">
        <v>1210</v>
      </c>
      <c r="C298" s="19" t="str">
        <f aca="false">IFERROR(INDEX('Agent Roster'!$B:$B,MATCH(B298,'Agent Roster'!$A:$A,0)),"UNASSIGNED")</f>
        <v>IP Creation Agent</v>
      </c>
      <c r="D298" s="19" t="str">
        <f aca="false">IFERROR(INDEX('Agent Roster'!$D:$D,MATCH(B298,'Agent Roster'!$A:$A,0)),"UNASSIGNED")</f>
        <v>9 · Content Hub</v>
      </c>
      <c r="E298" s="19" t="s">
        <v>2295</v>
      </c>
      <c r="F298" s="19" t="s">
        <v>2318</v>
      </c>
      <c r="G298" s="19" t="s">
        <v>1315</v>
      </c>
      <c r="H298" s="19" t="s">
        <v>1213</v>
      </c>
      <c r="I298" s="19" t="s">
        <v>2319</v>
      </c>
      <c r="J298" s="19" t="s">
        <v>2298</v>
      </c>
      <c r="K298" s="19" t="s">
        <v>1355</v>
      </c>
      <c r="L298" s="19" t="s">
        <v>1356</v>
      </c>
      <c r="M298" s="19" t="s">
        <v>1210</v>
      </c>
      <c r="N298" s="19"/>
      <c r="O298" s="19" t="s">
        <v>1321</v>
      </c>
    </row>
    <row r="299" customFormat="false" ht="22.35" hidden="false" customHeight="false" outlineLevel="0" collapsed="false">
      <c r="A299" s="19" t="s">
        <v>2320</v>
      </c>
      <c r="B299" s="19" t="s">
        <v>1210</v>
      </c>
      <c r="C299" s="19" t="str">
        <f aca="false">IFERROR(INDEX('Agent Roster'!$B:$B,MATCH(B299,'Agent Roster'!$A:$A,0)),"UNASSIGNED")</f>
        <v>IP Creation Agent</v>
      </c>
      <c r="D299" s="19" t="str">
        <f aca="false">IFERROR(INDEX('Agent Roster'!$D:$D,MATCH(B299,'Agent Roster'!$A:$A,0)),"UNASSIGNED")</f>
        <v>9 · Content Hub</v>
      </c>
      <c r="E299" s="19" t="s">
        <v>2295</v>
      </c>
      <c r="F299" s="19" t="s">
        <v>2321</v>
      </c>
      <c r="G299" s="19" t="s">
        <v>1315</v>
      </c>
      <c r="H299" s="19" t="s">
        <v>1213</v>
      </c>
      <c r="I299" s="19" t="s">
        <v>2322</v>
      </c>
      <c r="J299" s="19" t="s">
        <v>2298</v>
      </c>
      <c r="K299" s="19" t="s">
        <v>1360</v>
      </c>
      <c r="L299" s="19" t="s">
        <v>1361</v>
      </c>
      <c r="M299" s="19" t="s">
        <v>1210</v>
      </c>
      <c r="N299" s="19"/>
      <c r="O299" s="19" t="s">
        <v>1321</v>
      </c>
    </row>
    <row r="300" customFormat="false" ht="15" hidden="false" customHeight="false" outlineLevel="0" collapsed="false">
      <c r="A300" s="19" t="s">
        <v>2323</v>
      </c>
      <c r="B300" s="19" t="s">
        <v>1210</v>
      </c>
      <c r="C300" s="19" t="str">
        <f aca="false">IFERROR(INDEX('Agent Roster'!$B:$B,MATCH(B300,'Agent Roster'!$A:$A,0)),"UNASSIGNED")</f>
        <v>IP Creation Agent</v>
      </c>
      <c r="D300" s="19" t="str">
        <f aca="false">IFERROR(INDEX('Agent Roster'!$D:$D,MATCH(B300,'Agent Roster'!$A:$A,0)),"UNASSIGNED")</f>
        <v>9 · Content Hub</v>
      </c>
      <c r="E300" s="19" t="s">
        <v>2295</v>
      </c>
      <c r="F300" s="19" t="s">
        <v>2324</v>
      </c>
      <c r="G300" s="19" t="s">
        <v>1315</v>
      </c>
      <c r="H300" s="19" t="s">
        <v>1213</v>
      </c>
      <c r="I300" s="19" t="s">
        <v>2325</v>
      </c>
      <c r="J300" s="19" t="s">
        <v>2298</v>
      </c>
      <c r="K300" s="19" t="s">
        <v>1365</v>
      </c>
      <c r="L300" s="19" t="s">
        <v>1366</v>
      </c>
      <c r="M300" s="19" t="s">
        <v>1210</v>
      </c>
      <c r="N300" s="19"/>
      <c r="O300" s="19" t="s">
        <v>1321</v>
      </c>
    </row>
    <row r="301" customFormat="false" ht="22.35" hidden="false" customHeight="false" outlineLevel="0" collapsed="false">
      <c r="A301" s="19" t="s">
        <v>2326</v>
      </c>
      <c r="B301" s="19" t="s">
        <v>1210</v>
      </c>
      <c r="C301" s="19" t="str">
        <f aca="false">IFERROR(INDEX('Agent Roster'!$B:$B,MATCH(B301,'Agent Roster'!$A:$A,0)),"UNASSIGNED")</f>
        <v>IP Creation Agent</v>
      </c>
      <c r="D301" s="19" t="str">
        <f aca="false">IFERROR(INDEX('Agent Roster'!$D:$D,MATCH(B301,'Agent Roster'!$A:$A,0)),"UNASSIGNED")</f>
        <v>9 · Content Hub</v>
      </c>
      <c r="E301" s="19" t="s">
        <v>2295</v>
      </c>
      <c r="F301" s="19" t="s">
        <v>2327</v>
      </c>
      <c r="G301" s="19" t="s">
        <v>1315</v>
      </c>
      <c r="H301" s="19" t="s">
        <v>1213</v>
      </c>
      <c r="I301" s="19" t="s">
        <v>2328</v>
      </c>
      <c r="J301" s="19" t="s">
        <v>2298</v>
      </c>
      <c r="K301" s="19" t="s">
        <v>1370</v>
      </c>
      <c r="L301" s="19" t="s">
        <v>1376</v>
      </c>
      <c r="M301" s="19" t="s">
        <v>1377</v>
      </c>
      <c r="N301" s="19"/>
      <c r="O301" s="19" t="s">
        <v>1321</v>
      </c>
    </row>
    <row r="302" customFormat="false" ht="15" hidden="false" customHeight="false" outlineLevel="0" collapsed="false">
      <c r="A302" s="19" t="s">
        <v>2329</v>
      </c>
      <c r="B302" s="19" t="s">
        <v>1267</v>
      </c>
      <c r="C302" s="19" t="str">
        <f aca="false">IFERROR(INDEX('Agent Roster'!$B:$B,MATCH(B302,'Agent Roster'!$A:$A,0)),"UNASSIGNED")</f>
        <v>Writing Agent</v>
      </c>
      <c r="D302" s="19" t="str">
        <f aca="false">IFERROR(INDEX('Agent Roster'!$D:$D,MATCH(B302,'Agent Roster'!$A:$A,0)),"UNASSIGNED")</f>
        <v>9 · Content Hub</v>
      </c>
      <c r="E302" s="19" t="s">
        <v>2330</v>
      </c>
      <c r="F302" s="19" t="s">
        <v>2331</v>
      </c>
      <c r="G302" s="19" t="s">
        <v>1315</v>
      </c>
      <c r="H302" s="19" t="s">
        <v>2332</v>
      </c>
      <c r="I302" s="19" t="s">
        <v>2333</v>
      </c>
      <c r="J302" s="19" t="s">
        <v>2334</v>
      </c>
      <c r="K302" s="19" t="s">
        <v>1319</v>
      </c>
      <c r="L302" s="19" t="s">
        <v>1320</v>
      </c>
      <c r="M302" s="19" t="s">
        <v>1267</v>
      </c>
      <c r="N302" s="19"/>
      <c r="O302" s="19" t="s">
        <v>1321</v>
      </c>
    </row>
    <row r="303" customFormat="false" ht="15" hidden="false" customHeight="false" outlineLevel="0" collapsed="false">
      <c r="A303" s="19" t="s">
        <v>2335</v>
      </c>
      <c r="B303" s="19" t="s">
        <v>1267</v>
      </c>
      <c r="C303" s="19" t="str">
        <f aca="false">IFERROR(INDEX('Agent Roster'!$B:$B,MATCH(B303,'Agent Roster'!$A:$A,0)),"UNASSIGNED")</f>
        <v>Writing Agent</v>
      </c>
      <c r="D303" s="19" t="str">
        <f aca="false">IFERROR(INDEX('Agent Roster'!$D:$D,MATCH(B303,'Agent Roster'!$A:$A,0)),"UNASSIGNED")</f>
        <v>9 · Content Hub</v>
      </c>
      <c r="E303" s="19" t="s">
        <v>2330</v>
      </c>
      <c r="F303" s="19" t="s">
        <v>2336</v>
      </c>
      <c r="G303" s="19" t="s">
        <v>1315</v>
      </c>
      <c r="H303" s="19" t="s">
        <v>2332</v>
      </c>
      <c r="I303" s="19" t="s">
        <v>2337</v>
      </c>
      <c r="J303" s="19" t="s">
        <v>2334</v>
      </c>
      <c r="K303" s="19" t="s">
        <v>1325</v>
      </c>
      <c r="L303" s="19" t="s">
        <v>1326</v>
      </c>
      <c r="M303" s="19" t="s">
        <v>1267</v>
      </c>
      <c r="N303" s="19"/>
      <c r="O303" s="19" t="s">
        <v>1321</v>
      </c>
    </row>
    <row r="304" customFormat="false" ht="15" hidden="false" customHeight="false" outlineLevel="0" collapsed="false">
      <c r="A304" s="19" t="s">
        <v>2338</v>
      </c>
      <c r="B304" s="19" t="s">
        <v>1267</v>
      </c>
      <c r="C304" s="19" t="str">
        <f aca="false">IFERROR(INDEX('Agent Roster'!$B:$B,MATCH(B304,'Agent Roster'!$A:$A,0)),"UNASSIGNED")</f>
        <v>Writing Agent</v>
      </c>
      <c r="D304" s="19" t="str">
        <f aca="false">IFERROR(INDEX('Agent Roster'!$D:$D,MATCH(B304,'Agent Roster'!$A:$A,0)),"UNASSIGNED")</f>
        <v>9 · Content Hub</v>
      </c>
      <c r="E304" s="19" t="s">
        <v>2330</v>
      </c>
      <c r="F304" s="19" t="s">
        <v>2339</v>
      </c>
      <c r="G304" s="19" t="s">
        <v>1315</v>
      </c>
      <c r="H304" s="19" t="s">
        <v>2332</v>
      </c>
      <c r="I304" s="19" t="s">
        <v>2340</v>
      </c>
      <c r="J304" s="19" t="s">
        <v>2334</v>
      </c>
      <c r="K304" s="19" t="s">
        <v>1330</v>
      </c>
      <c r="L304" s="19" t="s">
        <v>1331</v>
      </c>
      <c r="M304" s="19" t="s">
        <v>1267</v>
      </c>
      <c r="N304" s="19"/>
      <c r="O304" s="19" t="s">
        <v>1321</v>
      </c>
    </row>
    <row r="305" customFormat="false" ht="15" hidden="false" customHeight="false" outlineLevel="0" collapsed="false">
      <c r="A305" s="19" t="s">
        <v>2341</v>
      </c>
      <c r="B305" s="19" t="s">
        <v>1267</v>
      </c>
      <c r="C305" s="19" t="str">
        <f aca="false">IFERROR(INDEX('Agent Roster'!$B:$B,MATCH(B305,'Agent Roster'!$A:$A,0)),"UNASSIGNED")</f>
        <v>Writing Agent</v>
      </c>
      <c r="D305" s="19" t="str">
        <f aca="false">IFERROR(INDEX('Agent Roster'!$D:$D,MATCH(B305,'Agent Roster'!$A:$A,0)),"UNASSIGNED")</f>
        <v>9 · Content Hub</v>
      </c>
      <c r="E305" s="19" t="s">
        <v>2330</v>
      </c>
      <c r="F305" s="19" t="s">
        <v>2342</v>
      </c>
      <c r="G305" s="19" t="s">
        <v>1315</v>
      </c>
      <c r="H305" s="19" t="s">
        <v>2332</v>
      </c>
      <c r="I305" s="19" t="s">
        <v>2343</v>
      </c>
      <c r="J305" s="19" t="s">
        <v>2334</v>
      </c>
      <c r="K305" s="19" t="s">
        <v>1335</v>
      </c>
      <c r="L305" s="19" t="s">
        <v>1336</v>
      </c>
      <c r="M305" s="19" t="s">
        <v>1267</v>
      </c>
      <c r="N305" s="19"/>
      <c r="O305" s="19" t="s">
        <v>1321</v>
      </c>
    </row>
    <row r="306" customFormat="false" ht="22.35" hidden="false" customHeight="false" outlineLevel="0" collapsed="false">
      <c r="A306" s="19" t="s">
        <v>2344</v>
      </c>
      <c r="B306" s="19" t="s">
        <v>1267</v>
      </c>
      <c r="C306" s="19" t="str">
        <f aca="false">IFERROR(INDEX('Agent Roster'!$B:$B,MATCH(B306,'Agent Roster'!$A:$A,0)),"UNASSIGNED")</f>
        <v>Writing Agent</v>
      </c>
      <c r="D306" s="19" t="str">
        <f aca="false">IFERROR(INDEX('Agent Roster'!$D:$D,MATCH(B306,'Agent Roster'!$A:$A,0)),"UNASSIGNED")</f>
        <v>9 · Content Hub</v>
      </c>
      <c r="E306" s="19" t="s">
        <v>2330</v>
      </c>
      <c r="F306" s="19" t="s">
        <v>2345</v>
      </c>
      <c r="G306" s="19" t="s">
        <v>1315</v>
      </c>
      <c r="H306" s="19" t="s">
        <v>2332</v>
      </c>
      <c r="I306" s="19" t="s">
        <v>2346</v>
      </c>
      <c r="J306" s="19" t="s">
        <v>2334</v>
      </c>
      <c r="K306" s="19" t="s">
        <v>1340</v>
      </c>
      <c r="L306" s="19" t="s">
        <v>1341</v>
      </c>
      <c r="M306" s="19" t="s">
        <v>1267</v>
      </c>
      <c r="N306" s="19"/>
      <c r="O306" s="19" t="s">
        <v>1321</v>
      </c>
    </row>
    <row r="307" customFormat="false" ht="22.35" hidden="false" customHeight="false" outlineLevel="0" collapsed="false">
      <c r="A307" s="19" t="s">
        <v>2347</v>
      </c>
      <c r="B307" s="19" t="s">
        <v>1267</v>
      </c>
      <c r="C307" s="19" t="str">
        <f aca="false">IFERROR(INDEX('Agent Roster'!$B:$B,MATCH(B307,'Agent Roster'!$A:$A,0)),"UNASSIGNED")</f>
        <v>Writing Agent</v>
      </c>
      <c r="D307" s="19" t="str">
        <f aca="false">IFERROR(INDEX('Agent Roster'!$D:$D,MATCH(B307,'Agent Roster'!$A:$A,0)),"UNASSIGNED")</f>
        <v>9 · Content Hub</v>
      </c>
      <c r="E307" s="19" t="s">
        <v>2330</v>
      </c>
      <c r="F307" s="19" t="s">
        <v>2348</v>
      </c>
      <c r="G307" s="19" t="s">
        <v>1315</v>
      </c>
      <c r="H307" s="19" t="s">
        <v>2332</v>
      </c>
      <c r="I307" s="19" t="s">
        <v>2349</v>
      </c>
      <c r="J307" s="19" t="s">
        <v>2334</v>
      </c>
      <c r="K307" s="19" t="s">
        <v>1345</v>
      </c>
      <c r="L307" s="19" t="s">
        <v>1346</v>
      </c>
      <c r="M307" s="19" t="s">
        <v>1267</v>
      </c>
      <c r="N307" s="19"/>
      <c r="O307" s="19" t="s">
        <v>1321</v>
      </c>
    </row>
    <row r="308" customFormat="false" ht="22.35" hidden="false" customHeight="false" outlineLevel="0" collapsed="false">
      <c r="A308" s="19" t="s">
        <v>2350</v>
      </c>
      <c r="B308" s="19" t="s">
        <v>1267</v>
      </c>
      <c r="C308" s="19" t="str">
        <f aca="false">IFERROR(INDEX('Agent Roster'!$B:$B,MATCH(B308,'Agent Roster'!$A:$A,0)),"UNASSIGNED")</f>
        <v>Writing Agent</v>
      </c>
      <c r="D308" s="19" t="str">
        <f aca="false">IFERROR(INDEX('Agent Roster'!$D:$D,MATCH(B308,'Agent Roster'!$A:$A,0)),"UNASSIGNED")</f>
        <v>9 · Content Hub</v>
      </c>
      <c r="E308" s="19" t="s">
        <v>2330</v>
      </c>
      <c r="F308" s="19" t="s">
        <v>2351</v>
      </c>
      <c r="G308" s="19" t="s">
        <v>1315</v>
      </c>
      <c r="H308" s="19" t="s">
        <v>2332</v>
      </c>
      <c r="I308" s="19" t="s">
        <v>2352</v>
      </c>
      <c r="J308" s="19" t="s">
        <v>2334</v>
      </c>
      <c r="K308" s="19" t="s">
        <v>1350</v>
      </c>
      <c r="L308" s="19" t="s">
        <v>1351</v>
      </c>
      <c r="M308" s="19" t="s">
        <v>1267</v>
      </c>
      <c r="N308" s="19"/>
      <c r="O308" s="19" t="s">
        <v>1321</v>
      </c>
    </row>
    <row r="309" customFormat="false" ht="22.35" hidden="false" customHeight="false" outlineLevel="0" collapsed="false">
      <c r="A309" s="19" t="s">
        <v>2353</v>
      </c>
      <c r="B309" s="19" t="s">
        <v>1267</v>
      </c>
      <c r="C309" s="19" t="str">
        <f aca="false">IFERROR(INDEX('Agent Roster'!$B:$B,MATCH(B309,'Agent Roster'!$A:$A,0)),"UNASSIGNED")</f>
        <v>Writing Agent</v>
      </c>
      <c r="D309" s="19" t="str">
        <f aca="false">IFERROR(INDEX('Agent Roster'!$D:$D,MATCH(B309,'Agent Roster'!$A:$A,0)),"UNASSIGNED")</f>
        <v>9 · Content Hub</v>
      </c>
      <c r="E309" s="19" t="s">
        <v>2330</v>
      </c>
      <c r="F309" s="19" t="s">
        <v>2354</v>
      </c>
      <c r="G309" s="19" t="s">
        <v>1315</v>
      </c>
      <c r="H309" s="19" t="s">
        <v>2332</v>
      </c>
      <c r="I309" s="19" t="s">
        <v>2355</v>
      </c>
      <c r="J309" s="19" t="s">
        <v>2334</v>
      </c>
      <c r="K309" s="19" t="s">
        <v>1355</v>
      </c>
      <c r="L309" s="19" t="s">
        <v>1356</v>
      </c>
      <c r="M309" s="19" t="s">
        <v>1267</v>
      </c>
      <c r="N309" s="19"/>
      <c r="O309" s="19" t="s">
        <v>1321</v>
      </c>
    </row>
    <row r="310" customFormat="false" ht="22.35" hidden="false" customHeight="false" outlineLevel="0" collapsed="false">
      <c r="A310" s="19" t="s">
        <v>2356</v>
      </c>
      <c r="B310" s="19" t="s">
        <v>1267</v>
      </c>
      <c r="C310" s="19" t="str">
        <f aca="false">IFERROR(INDEX('Agent Roster'!$B:$B,MATCH(B310,'Agent Roster'!$A:$A,0)),"UNASSIGNED")</f>
        <v>Writing Agent</v>
      </c>
      <c r="D310" s="19" t="str">
        <f aca="false">IFERROR(INDEX('Agent Roster'!$D:$D,MATCH(B310,'Agent Roster'!$A:$A,0)),"UNASSIGNED")</f>
        <v>9 · Content Hub</v>
      </c>
      <c r="E310" s="19" t="s">
        <v>2330</v>
      </c>
      <c r="F310" s="19" t="s">
        <v>2357</v>
      </c>
      <c r="G310" s="19" t="s">
        <v>1315</v>
      </c>
      <c r="H310" s="19" t="s">
        <v>2332</v>
      </c>
      <c r="I310" s="19" t="s">
        <v>2358</v>
      </c>
      <c r="J310" s="19" t="s">
        <v>2334</v>
      </c>
      <c r="K310" s="19" t="s">
        <v>1360</v>
      </c>
      <c r="L310" s="19" t="s">
        <v>1376</v>
      </c>
      <c r="M310" s="19" t="s">
        <v>1377</v>
      </c>
      <c r="N310" s="19"/>
      <c r="O310" s="19" t="s">
        <v>1321</v>
      </c>
    </row>
    <row r="311" customFormat="false" ht="22.35" hidden="false" customHeight="false" outlineLevel="0" collapsed="false">
      <c r="A311" s="19" t="s">
        <v>2359</v>
      </c>
      <c r="B311" s="19" t="s">
        <v>545</v>
      </c>
      <c r="C311" s="19" t="str">
        <f aca="false">IFERROR(INDEX('Agent Roster'!$B:$B,MATCH(B311,'Agent Roster'!$A:$A,0)),"UNASSIGNED")</f>
        <v>Communications, Speaking &amp; Influence Agent</v>
      </c>
      <c r="D311" s="19" t="str">
        <f aca="false">IFERROR(INDEX('Agent Roster'!$D:$D,MATCH(B311,'Agent Roster'!$A:$A,0)),"UNASSIGNED")</f>
        <v>2 · Marketing Hub</v>
      </c>
      <c r="E311" s="19" t="s">
        <v>2360</v>
      </c>
      <c r="F311" s="19" t="s">
        <v>2361</v>
      </c>
      <c r="G311" s="19" t="s">
        <v>1315</v>
      </c>
      <c r="H311" s="19" t="s">
        <v>2362</v>
      </c>
      <c r="I311" s="19" t="s">
        <v>2363</v>
      </c>
      <c r="J311" s="19" t="s">
        <v>2364</v>
      </c>
      <c r="K311" s="19" t="s">
        <v>1319</v>
      </c>
      <c r="L311" s="19" t="s">
        <v>1320</v>
      </c>
      <c r="M311" s="19" t="s">
        <v>545</v>
      </c>
      <c r="N311" s="19"/>
      <c r="O311" s="19" t="s">
        <v>1321</v>
      </c>
    </row>
    <row r="312" customFormat="false" ht="22.35" hidden="false" customHeight="false" outlineLevel="0" collapsed="false">
      <c r="A312" s="19" t="s">
        <v>2365</v>
      </c>
      <c r="B312" s="19" t="s">
        <v>545</v>
      </c>
      <c r="C312" s="19" t="str">
        <f aca="false">IFERROR(INDEX('Agent Roster'!$B:$B,MATCH(B312,'Agent Roster'!$A:$A,0)),"UNASSIGNED")</f>
        <v>Communications, Speaking &amp; Influence Agent</v>
      </c>
      <c r="D312" s="19" t="str">
        <f aca="false">IFERROR(INDEX('Agent Roster'!$D:$D,MATCH(B312,'Agent Roster'!$A:$A,0)),"UNASSIGNED")</f>
        <v>2 · Marketing Hub</v>
      </c>
      <c r="E312" s="19" t="s">
        <v>2360</v>
      </c>
      <c r="F312" s="19" t="s">
        <v>2366</v>
      </c>
      <c r="G312" s="19" t="s">
        <v>1315</v>
      </c>
      <c r="H312" s="19" t="s">
        <v>2362</v>
      </c>
      <c r="I312" s="19" t="s">
        <v>2367</v>
      </c>
      <c r="J312" s="19" t="s">
        <v>2364</v>
      </c>
      <c r="K312" s="19" t="s">
        <v>1325</v>
      </c>
      <c r="L312" s="19" t="s">
        <v>1326</v>
      </c>
      <c r="M312" s="19" t="s">
        <v>545</v>
      </c>
      <c r="N312" s="19"/>
      <c r="O312" s="19" t="s">
        <v>1321</v>
      </c>
    </row>
    <row r="313" customFormat="false" ht="22.35" hidden="false" customHeight="false" outlineLevel="0" collapsed="false">
      <c r="A313" s="19" t="s">
        <v>2368</v>
      </c>
      <c r="B313" s="19" t="s">
        <v>545</v>
      </c>
      <c r="C313" s="19" t="str">
        <f aca="false">IFERROR(INDEX('Agent Roster'!$B:$B,MATCH(B313,'Agent Roster'!$A:$A,0)),"UNASSIGNED")</f>
        <v>Communications, Speaking &amp; Influence Agent</v>
      </c>
      <c r="D313" s="19" t="str">
        <f aca="false">IFERROR(INDEX('Agent Roster'!$D:$D,MATCH(B313,'Agent Roster'!$A:$A,0)),"UNASSIGNED")</f>
        <v>2 · Marketing Hub</v>
      </c>
      <c r="E313" s="19" t="s">
        <v>2360</v>
      </c>
      <c r="F313" s="19" t="s">
        <v>2369</v>
      </c>
      <c r="G313" s="19" t="s">
        <v>1315</v>
      </c>
      <c r="H313" s="19" t="s">
        <v>2362</v>
      </c>
      <c r="I313" s="19" t="s">
        <v>2370</v>
      </c>
      <c r="J313" s="19" t="s">
        <v>2364</v>
      </c>
      <c r="K313" s="19" t="s">
        <v>1330</v>
      </c>
      <c r="L313" s="19" t="s">
        <v>1331</v>
      </c>
      <c r="M313" s="19" t="s">
        <v>545</v>
      </c>
      <c r="N313" s="19"/>
      <c r="O313" s="19" t="s">
        <v>1321</v>
      </c>
    </row>
    <row r="314" customFormat="false" ht="22.35" hidden="false" customHeight="false" outlineLevel="0" collapsed="false">
      <c r="A314" s="19" t="s">
        <v>2371</v>
      </c>
      <c r="B314" s="19" t="s">
        <v>545</v>
      </c>
      <c r="C314" s="19" t="str">
        <f aca="false">IFERROR(INDEX('Agent Roster'!$B:$B,MATCH(B314,'Agent Roster'!$A:$A,0)),"UNASSIGNED")</f>
        <v>Communications, Speaking &amp; Influence Agent</v>
      </c>
      <c r="D314" s="19" t="str">
        <f aca="false">IFERROR(INDEX('Agent Roster'!$D:$D,MATCH(B314,'Agent Roster'!$A:$A,0)),"UNASSIGNED")</f>
        <v>2 · Marketing Hub</v>
      </c>
      <c r="E314" s="19" t="s">
        <v>2360</v>
      </c>
      <c r="F314" s="19" t="s">
        <v>2372</v>
      </c>
      <c r="G314" s="19" t="s">
        <v>1315</v>
      </c>
      <c r="H314" s="19" t="s">
        <v>2362</v>
      </c>
      <c r="I314" s="19" t="s">
        <v>2373</v>
      </c>
      <c r="J314" s="19" t="s">
        <v>2364</v>
      </c>
      <c r="K314" s="19" t="s">
        <v>1335</v>
      </c>
      <c r="L314" s="19" t="s">
        <v>1336</v>
      </c>
      <c r="M314" s="19" t="s">
        <v>545</v>
      </c>
      <c r="N314" s="19"/>
      <c r="O314" s="19" t="s">
        <v>1321</v>
      </c>
    </row>
    <row r="315" customFormat="false" ht="22.35" hidden="false" customHeight="false" outlineLevel="0" collapsed="false">
      <c r="A315" s="19" t="s">
        <v>2374</v>
      </c>
      <c r="B315" s="19" t="s">
        <v>545</v>
      </c>
      <c r="C315" s="19" t="str">
        <f aca="false">IFERROR(INDEX('Agent Roster'!$B:$B,MATCH(B315,'Agent Roster'!$A:$A,0)),"UNASSIGNED")</f>
        <v>Communications, Speaking &amp; Influence Agent</v>
      </c>
      <c r="D315" s="19" t="str">
        <f aca="false">IFERROR(INDEX('Agent Roster'!$D:$D,MATCH(B315,'Agent Roster'!$A:$A,0)),"UNASSIGNED")</f>
        <v>2 · Marketing Hub</v>
      </c>
      <c r="E315" s="19" t="s">
        <v>2360</v>
      </c>
      <c r="F315" s="19" t="s">
        <v>2375</v>
      </c>
      <c r="G315" s="19" t="s">
        <v>1315</v>
      </c>
      <c r="H315" s="19" t="s">
        <v>2362</v>
      </c>
      <c r="I315" s="19" t="s">
        <v>2376</v>
      </c>
      <c r="J315" s="19" t="s">
        <v>2364</v>
      </c>
      <c r="K315" s="19" t="s">
        <v>1340</v>
      </c>
      <c r="L315" s="19" t="s">
        <v>1341</v>
      </c>
      <c r="M315" s="19" t="s">
        <v>545</v>
      </c>
      <c r="N315" s="19"/>
      <c r="O315" s="19" t="s">
        <v>1321</v>
      </c>
    </row>
    <row r="316" customFormat="false" ht="22.35" hidden="false" customHeight="false" outlineLevel="0" collapsed="false">
      <c r="A316" s="19" t="s">
        <v>2377</v>
      </c>
      <c r="B316" s="19" t="s">
        <v>545</v>
      </c>
      <c r="C316" s="19" t="str">
        <f aca="false">IFERROR(INDEX('Agent Roster'!$B:$B,MATCH(B316,'Agent Roster'!$A:$A,0)),"UNASSIGNED")</f>
        <v>Communications, Speaking &amp; Influence Agent</v>
      </c>
      <c r="D316" s="19" t="str">
        <f aca="false">IFERROR(INDEX('Agent Roster'!$D:$D,MATCH(B316,'Agent Roster'!$A:$A,0)),"UNASSIGNED")</f>
        <v>2 · Marketing Hub</v>
      </c>
      <c r="E316" s="19" t="s">
        <v>2360</v>
      </c>
      <c r="F316" s="19" t="s">
        <v>2378</v>
      </c>
      <c r="G316" s="19" t="s">
        <v>1315</v>
      </c>
      <c r="H316" s="19" t="s">
        <v>2362</v>
      </c>
      <c r="I316" s="19" t="s">
        <v>2379</v>
      </c>
      <c r="J316" s="19" t="s">
        <v>2364</v>
      </c>
      <c r="K316" s="19" t="s">
        <v>1345</v>
      </c>
      <c r="L316" s="19" t="s">
        <v>1346</v>
      </c>
      <c r="M316" s="19" t="s">
        <v>545</v>
      </c>
      <c r="N316" s="19"/>
      <c r="O316" s="19" t="s">
        <v>1321</v>
      </c>
    </row>
    <row r="317" customFormat="false" ht="22.35" hidden="false" customHeight="false" outlineLevel="0" collapsed="false">
      <c r="A317" s="19" t="s">
        <v>2380</v>
      </c>
      <c r="B317" s="19" t="s">
        <v>545</v>
      </c>
      <c r="C317" s="19" t="str">
        <f aca="false">IFERROR(INDEX('Agent Roster'!$B:$B,MATCH(B317,'Agent Roster'!$A:$A,0)),"UNASSIGNED")</f>
        <v>Communications, Speaking &amp; Influence Agent</v>
      </c>
      <c r="D317" s="19" t="str">
        <f aca="false">IFERROR(INDEX('Agent Roster'!$D:$D,MATCH(B317,'Agent Roster'!$A:$A,0)),"UNASSIGNED")</f>
        <v>2 · Marketing Hub</v>
      </c>
      <c r="E317" s="19" t="s">
        <v>2360</v>
      </c>
      <c r="F317" s="19" t="s">
        <v>2381</v>
      </c>
      <c r="G317" s="19" t="s">
        <v>1315</v>
      </c>
      <c r="H317" s="19" t="s">
        <v>2362</v>
      </c>
      <c r="I317" s="19" t="s">
        <v>2382</v>
      </c>
      <c r="J317" s="19" t="s">
        <v>2364</v>
      </c>
      <c r="K317" s="19" t="s">
        <v>1350</v>
      </c>
      <c r="L317" s="19" t="s">
        <v>1351</v>
      </c>
      <c r="M317" s="19" t="s">
        <v>545</v>
      </c>
      <c r="N317" s="19"/>
      <c r="O317" s="19" t="s">
        <v>1321</v>
      </c>
    </row>
    <row r="318" customFormat="false" ht="22.35" hidden="false" customHeight="false" outlineLevel="0" collapsed="false">
      <c r="A318" s="19" t="s">
        <v>2383</v>
      </c>
      <c r="B318" s="19" t="s">
        <v>545</v>
      </c>
      <c r="C318" s="19" t="str">
        <f aca="false">IFERROR(INDEX('Agent Roster'!$B:$B,MATCH(B318,'Agent Roster'!$A:$A,0)),"UNASSIGNED")</f>
        <v>Communications, Speaking &amp; Influence Agent</v>
      </c>
      <c r="D318" s="19" t="str">
        <f aca="false">IFERROR(INDEX('Agent Roster'!$D:$D,MATCH(B318,'Agent Roster'!$A:$A,0)),"UNASSIGNED")</f>
        <v>2 · Marketing Hub</v>
      </c>
      <c r="E318" s="19" t="s">
        <v>2360</v>
      </c>
      <c r="F318" s="19" t="s">
        <v>2384</v>
      </c>
      <c r="G318" s="19" t="s">
        <v>1315</v>
      </c>
      <c r="H318" s="19" t="s">
        <v>2362</v>
      </c>
      <c r="I318" s="19" t="s">
        <v>2385</v>
      </c>
      <c r="J318" s="19" t="s">
        <v>2364</v>
      </c>
      <c r="K318" s="19" t="s">
        <v>1355</v>
      </c>
      <c r="L318" s="19" t="s">
        <v>1356</v>
      </c>
      <c r="M318" s="19" t="s">
        <v>545</v>
      </c>
      <c r="N318" s="19"/>
      <c r="O318" s="19" t="s">
        <v>1321</v>
      </c>
    </row>
    <row r="319" customFormat="false" ht="22.35" hidden="false" customHeight="false" outlineLevel="0" collapsed="false">
      <c r="A319" s="19" t="s">
        <v>2386</v>
      </c>
      <c r="B319" s="19" t="s">
        <v>545</v>
      </c>
      <c r="C319" s="19" t="str">
        <f aca="false">IFERROR(INDEX('Agent Roster'!$B:$B,MATCH(B319,'Agent Roster'!$A:$A,0)),"UNASSIGNED")</f>
        <v>Communications, Speaking &amp; Influence Agent</v>
      </c>
      <c r="D319" s="19" t="str">
        <f aca="false">IFERROR(INDEX('Agent Roster'!$D:$D,MATCH(B319,'Agent Roster'!$A:$A,0)),"UNASSIGNED")</f>
        <v>2 · Marketing Hub</v>
      </c>
      <c r="E319" s="19" t="s">
        <v>2360</v>
      </c>
      <c r="F319" s="19" t="s">
        <v>2387</v>
      </c>
      <c r="G319" s="19" t="s">
        <v>1315</v>
      </c>
      <c r="H319" s="19" t="s">
        <v>2362</v>
      </c>
      <c r="I319" s="19" t="s">
        <v>2388</v>
      </c>
      <c r="J319" s="19" t="s">
        <v>2364</v>
      </c>
      <c r="K319" s="19" t="s">
        <v>1360</v>
      </c>
      <c r="L319" s="19" t="s">
        <v>1376</v>
      </c>
      <c r="M319" s="19" t="s">
        <v>1377</v>
      </c>
      <c r="N319" s="19"/>
      <c r="O319" s="19" t="s">
        <v>1321</v>
      </c>
    </row>
    <row r="320" customFormat="false" ht="22.35" hidden="false" customHeight="false" outlineLevel="0" collapsed="false">
      <c r="A320" s="19" t="s">
        <v>2389</v>
      </c>
      <c r="B320" s="19" t="s">
        <v>1256</v>
      </c>
      <c r="C320" s="19" t="str">
        <f aca="false">IFERROR(INDEX('Agent Roster'!$B:$B,MATCH(B320,'Agent Roster'!$A:$A,0)),"UNASSIGNED")</f>
        <v>GFunnel University Curriculum Agent</v>
      </c>
      <c r="D320" s="19" t="str">
        <f aca="false">IFERROR(INDEX('Agent Roster'!$D:$D,MATCH(B320,'Agent Roster'!$A:$A,0)),"UNASSIGNED")</f>
        <v>9 · Content Hub</v>
      </c>
      <c r="E320" s="19" t="s">
        <v>2390</v>
      </c>
      <c r="F320" s="19" t="s">
        <v>2391</v>
      </c>
      <c r="G320" s="19" t="s">
        <v>1315</v>
      </c>
      <c r="H320" s="19" t="s">
        <v>2392</v>
      </c>
      <c r="I320" s="19" t="s">
        <v>2393</v>
      </c>
      <c r="J320" s="19" t="s">
        <v>2394</v>
      </c>
      <c r="K320" s="19" t="s">
        <v>1319</v>
      </c>
      <c r="L320" s="19" t="s">
        <v>1320</v>
      </c>
      <c r="M320" s="19" t="s">
        <v>1256</v>
      </c>
      <c r="N320" s="19"/>
      <c r="O320" s="19" t="s">
        <v>1321</v>
      </c>
    </row>
    <row r="321" customFormat="false" ht="22.35" hidden="false" customHeight="false" outlineLevel="0" collapsed="false">
      <c r="A321" s="19" t="s">
        <v>2395</v>
      </c>
      <c r="B321" s="19" t="s">
        <v>1256</v>
      </c>
      <c r="C321" s="19" t="str">
        <f aca="false">IFERROR(INDEX('Agent Roster'!$B:$B,MATCH(B321,'Agent Roster'!$A:$A,0)),"UNASSIGNED")</f>
        <v>GFunnel University Curriculum Agent</v>
      </c>
      <c r="D321" s="19" t="str">
        <f aca="false">IFERROR(INDEX('Agent Roster'!$D:$D,MATCH(B321,'Agent Roster'!$A:$A,0)),"UNASSIGNED")</f>
        <v>9 · Content Hub</v>
      </c>
      <c r="E321" s="19" t="s">
        <v>2390</v>
      </c>
      <c r="F321" s="19" t="s">
        <v>2396</v>
      </c>
      <c r="G321" s="19" t="s">
        <v>1315</v>
      </c>
      <c r="H321" s="19" t="s">
        <v>2392</v>
      </c>
      <c r="I321" s="19" t="s">
        <v>2397</v>
      </c>
      <c r="J321" s="19" t="s">
        <v>2394</v>
      </c>
      <c r="K321" s="19" t="s">
        <v>1325</v>
      </c>
      <c r="L321" s="19" t="s">
        <v>1326</v>
      </c>
      <c r="M321" s="19" t="s">
        <v>1256</v>
      </c>
      <c r="N321" s="19"/>
      <c r="O321" s="19" t="s">
        <v>1321</v>
      </c>
    </row>
    <row r="322" customFormat="false" ht="22.35" hidden="false" customHeight="false" outlineLevel="0" collapsed="false">
      <c r="A322" s="19" t="s">
        <v>2398</v>
      </c>
      <c r="B322" s="19" t="s">
        <v>1256</v>
      </c>
      <c r="C322" s="19" t="str">
        <f aca="false">IFERROR(INDEX('Agent Roster'!$B:$B,MATCH(B322,'Agent Roster'!$A:$A,0)),"UNASSIGNED")</f>
        <v>GFunnel University Curriculum Agent</v>
      </c>
      <c r="D322" s="19" t="str">
        <f aca="false">IFERROR(INDEX('Agent Roster'!$D:$D,MATCH(B322,'Agent Roster'!$A:$A,0)),"UNASSIGNED")</f>
        <v>9 · Content Hub</v>
      </c>
      <c r="E322" s="19" t="s">
        <v>2390</v>
      </c>
      <c r="F322" s="19" t="s">
        <v>2399</v>
      </c>
      <c r="G322" s="19" t="s">
        <v>1315</v>
      </c>
      <c r="H322" s="19" t="s">
        <v>2392</v>
      </c>
      <c r="I322" s="19" t="s">
        <v>2400</v>
      </c>
      <c r="J322" s="19" t="s">
        <v>2394</v>
      </c>
      <c r="K322" s="19" t="s">
        <v>1330</v>
      </c>
      <c r="L322" s="19" t="s">
        <v>1331</v>
      </c>
      <c r="M322" s="19" t="s">
        <v>1256</v>
      </c>
      <c r="N322" s="19"/>
      <c r="O322" s="19" t="s">
        <v>1321</v>
      </c>
    </row>
    <row r="323" customFormat="false" ht="22.35" hidden="false" customHeight="false" outlineLevel="0" collapsed="false">
      <c r="A323" s="19" t="s">
        <v>2401</v>
      </c>
      <c r="B323" s="19" t="s">
        <v>1256</v>
      </c>
      <c r="C323" s="19" t="str">
        <f aca="false">IFERROR(INDEX('Agent Roster'!$B:$B,MATCH(B323,'Agent Roster'!$A:$A,0)),"UNASSIGNED")</f>
        <v>GFunnel University Curriculum Agent</v>
      </c>
      <c r="D323" s="19" t="str">
        <f aca="false">IFERROR(INDEX('Agent Roster'!$D:$D,MATCH(B323,'Agent Roster'!$A:$A,0)),"UNASSIGNED")</f>
        <v>9 · Content Hub</v>
      </c>
      <c r="E323" s="19" t="s">
        <v>2390</v>
      </c>
      <c r="F323" s="19" t="s">
        <v>2402</v>
      </c>
      <c r="G323" s="19" t="s">
        <v>1315</v>
      </c>
      <c r="H323" s="19" t="s">
        <v>2392</v>
      </c>
      <c r="I323" s="19" t="s">
        <v>2403</v>
      </c>
      <c r="J323" s="19" t="s">
        <v>2394</v>
      </c>
      <c r="K323" s="19" t="s">
        <v>1335</v>
      </c>
      <c r="L323" s="19" t="s">
        <v>1336</v>
      </c>
      <c r="M323" s="19" t="s">
        <v>1256</v>
      </c>
      <c r="N323" s="19"/>
      <c r="O323" s="19" t="s">
        <v>1321</v>
      </c>
    </row>
    <row r="324" customFormat="false" ht="22.35" hidden="false" customHeight="false" outlineLevel="0" collapsed="false">
      <c r="A324" s="19" t="s">
        <v>2404</v>
      </c>
      <c r="B324" s="19" t="s">
        <v>1256</v>
      </c>
      <c r="C324" s="19" t="str">
        <f aca="false">IFERROR(INDEX('Agent Roster'!$B:$B,MATCH(B324,'Agent Roster'!$A:$A,0)),"UNASSIGNED")</f>
        <v>GFunnel University Curriculum Agent</v>
      </c>
      <c r="D324" s="19" t="str">
        <f aca="false">IFERROR(INDEX('Agent Roster'!$D:$D,MATCH(B324,'Agent Roster'!$A:$A,0)),"UNASSIGNED")</f>
        <v>9 · Content Hub</v>
      </c>
      <c r="E324" s="19" t="s">
        <v>2390</v>
      </c>
      <c r="F324" s="19" t="s">
        <v>2405</v>
      </c>
      <c r="G324" s="19" t="s">
        <v>1315</v>
      </c>
      <c r="H324" s="19" t="s">
        <v>2392</v>
      </c>
      <c r="I324" s="19" t="s">
        <v>2406</v>
      </c>
      <c r="J324" s="19" t="s">
        <v>2394</v>
      </c>
      <c r="K324" s="19" t="s">
        <v>1340</v>
      </c>
      <c r="L324" s="19" t="s">
        <v>1341</v>
      </c>
      <c r="M324" s="19" t="s">
        <v>1256</v>
      </c>
      <c r="N324" s="19"/>
      <c r="O324" s="19" t="s">
        <v>1321</v>
      </c>
    </row>
    <row r="325" customFormat="false" ht="22.35" hidden="false" customHeight="false" outlineLevel="0" collapsed="false">
      <c r="A325" s="19" t="s">
        <v>2407</v>
      </c>
      <c r="B325" s="19" t="s">
        <v>1256</v>
      </c>
      <c r="C325" s="19" t="str">
        <f aca="false">IFERROR(INDEX('Agent Roster'!$B:$B,MATCH(B325,'Agent Roster'!$A:$A,0)),"UNASSIGNED")</f>
        <v>GFunnel University Curriculum Agent</v>
      </c>
      <c r="D325" s="19" t="str">
        <f aca="false">IFERROR(INDEX('Agent Roster'!$D:$D,MATCH(B325,'Agent Roster'!$A:$A,0)),"UNASSIGNED")</f>
        <v>9 · Content Hub</v>
      </c>
      <c r="E325" s="19" t="s">
        <v>2390</v>
      </c>
      <c r="F325" s="19" t="s">
        <v>2408</v>
      </c>
      <c r="G325" s="19" t="s">
        <v>1315</v>
      </c>
      <c r="H325" s="19" t="s">
        <v>2392</v>
      </c>
      <c r="I325" s="19" t="s">
        <v>2409</v>
      </c>
      <c r="J325" s="19" t="s">
        <v>2394</v>
      </c>
      <c r="K325" s="19" t="s">
        <v>1345</v>
      </c>
      <c r="L325" s="19" t="s">
        <v>1346</v>
      </c>
      <c r="M325" s="19" t="s">
        <v>1256</v>
      </c>
      <c r="N325" s="19"/>
      <c r="O325" s="19" t="s">
        <v>1321</v>
      </c>
    </row>
    <row r="326" customFormat="false" ht="22.35" hidden="false" customHeight="false" outlineLevel="0" collapsed="false">
      <c r="A326" s="19" t="s">
        <v>2410</v>
      </c>
      <c r="B326" s="19" t="s">
        <v>1256</v>
      </c>
      <c r="C326" s="19" t="str">
        <f aca="false">IFERROR(INDEX('Agent Roster'!$B:$B,MATCH(B326,'Agent Roster'!$A:$A,0)),"UNASSIGNED")</f>
        <v>GFunnel University Curriculum Agent</v>
      </c>
      <c r="D326" s="19" t="str">
        <f aca="false">IFERROR(INDEX('Agent Roster'!$D:$D,MATCH(B326,'Agent Roster'!$A:$A,0)),"UNASSIGNED")</f>
        <v>9 · Content Hub</v>
      </c>
      <c r="E326" s="19" t="s">
        <v>2390</v>
      </c>
      <c r="F326" s="19" t="s">
        <v>2411</v>
      </c>
      <c r="G326" s="19" t="s">
        <v>1315</v>
      </c>
      <c r="H326" s="19" t="s">
        <v>2392</v>
      </c>
      <c r="I326" s="19" t="s">
        <v>2412</v>
      </c>
      <c r="J326" s="19" t="s">
        <v>2394</v>
      </c>
      <c r="K326" s="19" t="s">
        <v>1350</v>
      </c>
      <c r="L326" s="19" t="s">
        <v>1351</v>
      </c>
      <c r="M326" s="19" t="s">
        <v>1256</v>
      </c>
      <c r="N326" s="19"/>
      <c r="O326" s="19" t="s">
        <v>1321</v>
      </c>
    </row>
    <row r="327" customFormat="false" ht="22.35" hidden="false" customHeight="false" outlineLevel="0" collapsed="false">
      <c r="A327" s="19" t="s">
        <v>2413</v>
      </c>
      <c r="B327" s="19" t="s">
        <v>1256</v>
      </c>
      <c r="C327" s="19" t="str">
        <f aca="false">IFERROR(INDEX('Agent Roster'!$B:$B,MATCH(B327,'Agent Roster'!$A:$A,0)),"UNASSIGNED")</f>
        <v>GFunnel University Curriculum Agent</v>
      </c>
      <c r="D327" s="19" t="str">
        <f aca="false">IFERROR(INDEX('Agent Roster'!$D:$D,MATCH(B327,'Agent Roster'!$A:$A,0)),"UNASSIGNED")</f>
        <v>9 · Content Hub</v>
      </c>
      <c r="E327" s="19" t="s">
        <v>2390</v>
      </c>
      <c r="F327" s="19" t="s">
        <v>2414</v>
      </c>
      <c r="G327" s="19" t="s">
        <v>1315</v>
      </c>
      <c r="H327" s="19" t="s">
        <v>2392</v>
      </c>
      <c r="I327" s="19" t="s">
        <v>2415</v>
      </c>
      <c r="J327" s="19" t="s">
        <v>2394</v>
      </c>
      <c r="K327" s="19" t="s">
        <v>1355</v>
      </c>
      <c r="L327" s="19" t="s">
        <v>1356</v>
      </c>
      <c r="M327" s="19" t="s">
        <v>1256</v>
      </c>
      <c r="N327" s="19"/>
      <c r="O327" s="19" t="s">
        <v>1321</v>
      </c>
    </row>
    <row r="328" customFormat="false" ht="22.35" hidden="false" customHeight="false" outlineLevel="0" collapsed="false">
      <c r="A328" s="19" t="s">
        <v>2416</v>
      </c>
      <c r="B328" s="19" t="s">
        <v>1256</v>
      </c>
      <c r="C328" s="19" t="str">
        <f aca="false">IFERROR(INDEX('Agent Roster'!$B:$B,MATCH(B328,'Agent Roster'!$A:$A,0)),"UNASSIGNED")</f>
        <v>GFunnel University Curriculum Agent</v>
      </c>
      <c r="D328" s="19" t="str">
        <f aca="false">IFERROR(INDEX('Agent Roster'!$D:$D,MATCH(B328,'Agent Roster'!$A:$A,0)),"UNASSIGNED")</f>
        <v>9 · Content Hub</v>
      </c>
      <c r="E328" s="19" t="s">
        <v>2390</v>
      </c>
      <c r="F328" s="19" t="s">
        <v>2417</v>
      </c>
      <c r="G328" s="19" t="s">
        <v>1315</v>
      </c>
      <c r="H328" s="19" t="s">
        <v>2392</v>
      </c>
      <c r="I328" s="19" t="s">
        <v>2418</v>
      </c>
      <c r="J328" s="19" t="s">
        <v>2394</v>
      </c>
      <c r="K328" s="19" t="s">
        <v>1360</v>
      </c>
      <c r="L328" s="19" t="s">
        <v>1361</v>
      </c>
      <c r="M328" s="19" t="s">
        <v>1256</v>
      </c>
      <c r="N328" s="19"/>
      <c r="O328" s="19" t="s">
        <v>1321</v>
      </c>
    </row>
    <row r="329" customFormat="false" ht="22.35" hidden="false" customHeight="false" outlineLevel="0" collapsed="false">
      <c r="A329" s="19" t="s">
        <v>2419</v>
      </c>
      <c r="B329" s="19" t="s">
        <v>1256</v>
      </c>
      <c r="C329" s="19" t="str">
        <f aca="false">IFERROR(INDEX('Agent Roster'!$B:$B,MATCH(B329,'Agent Roster'!$A:$A,0)),"UNASSIGNED")</f>
        <v>GFunnel University Curriculum Agent</v>
      </c>
      <c r="D329" s="19" t="str">
        <f aca="false">IFERROR(INDEX('Agent Roster'!$D:$D,MATCH(B329,'Agent Roster'!$A:$A,0)),"UNASSIGNED")</f>
        <v>9 · Content Hub</v>
      </c>
      <c r="E329" s="19" t="s">
        <v>2390</v>
      </c>
      <c r="F329" s="19" t="s">
        <v>2420</v>
      </c>
      <c r="G329" s="19" t="s">
        <v>1315</v>
      </c>
      <c r="H329" s="19" t="s">
        <v>2392</v>
      </c>
      <c r="I329" s="19" t="s">
        <v>2421</v>
      </c>
      <c r="J329" s="19" t="s">
        <v>2394</v>
      </c>
      <c r="K329" s="19" t="s">
        <v>1365</v>
      </c>
      <c r="L329" s="19" t="s">
        <v>1376</v>
      </c>
      <c r="M329" s="19" t="s">
        <v>1377</v>
      </c>
      <c r="N329" s="19"/>
      <c r="O329" s="19" t="s">
        <v>1321</v>
      </c>
    </row>
    <row r="330" customFormat="false" ht="22.35" hidden="false" customHeight="false" outlineLevel="0" collapsed="false">
      <c r="A330" s="19" t="s">
        <v>2422</v>
      </c>
      <c r="B330" s="19" t="s">
        <v>47</v>
      </c>
      <c r="C330" s="19" t="str">
        <f aca="false">IFERROR(INDEX('Agent Roster'!$B:$B,MATCH(B330,'Agent Roster'!$A:$A,0)),"UNASSIGNED")</f>
        <v>Founder / Operator (HUMAN)</v>
      </c>
      <c r="D330" s="19" t="str">
        <f aca="false">IFERROR(INDEX('Agent Roster'!$D:$D,MATCH(B330,'Agent Roster'!$A:$A,0)),"UNASSIGNED")</f>
        <v>Governance &amp; Meta-Tier</v>
      </c>
      <c r="E330" s="19" t="s">
        <v>2423</v>
      </c>
      <c r="F330" s="19" t="s">
        <v>2424</v>
      </c>
      <c r="G330" s="19" t="s">
        <v>1315</v>
      </c>
      <c r="H330" s="19" t="s">
        <v>2425</v>
      </c>
      <c r="I330" s="19" t="s">
        <v>2426</v>
      </c>
      <c r="J330" s="19" t="s">
        <v>51</v>
      </c>
      <c r="K330" s="19" t="s">
        <v>1319</v>
      </c>
      <c r="L330" s="19" t="s">
        <v>1320</v>
      </c>
      <c r="M330" s="19" t="s">
        <v>47</v>
      </c>
      <c r="N330" s="19" t="s">
        <v>1657</v>
      </c>
      <c r="O330" s="19" t="s">
        <v>2060</v>
      </c>
    </row>
    <row r="331" customFormat="false" ht="22.35" hidden="false" customHeight="false" outlineLevel="0" collapsed="false">
      <c r="A331" s="19" t="s">
        <v>2427</v>
      </c>
      <c r="B331" s="19" t="s">
        <v>47</v>
      </c>
      <c r="C331" s="19" t="str">
        <f aca="false">IFERROR(INDEX('Agent Roster'!$B:$B,MATCH(B331,'Agent Roster'!$A:$A,0)),"UNASSIGNED")</f>
        <v>Founder / Operator (HUMAN)</v>
      </c>
      <c r="D331" s="19" t="str">
        <f aca="false">IFERROR(INDEX('Agent Roster'!$D:$D,MATCH(B331,'Agent Roster'!$A:$A,0)),"UNASSIGNED")</f>
        <v>Governance &amp; Meta-Tier</v>
      </c>
      <c r="E331" s="19" t="s">
        <v>2423</v>
      </c>
      <c r="F331" s="19" t="s">
        <v>2428</v>
      </c>
      <c r="G331" s="19" t="s">
        <v>1315</v>
      </c>
      <c r="H331" s="19" t="s">
        <v>2425</v>
      </c>
      <c r="I331" s="19" t="s">
        <v>2429</v>
      </c>
      <c r="J331" s="19" t="s">
        <v>51</v>
      </c>
      <c r="K331" s="19" t="s">
        <v>1325</v>
      </c>
      <c r="L331" s="19" t="s">
        <v>1326</v>
      </c>
      <c r="M331" s="19" t="s">
        <v>47</v>
      </c>
      <c r="N331" s="19" t="s">
        <v>1657</v>
      </c>
      <c r="O331" s="19" t="s">
        <v>2060</v>
      </c>
    </row>
    <row r="332" customFormat="false" ht="22.35" hidden="false" customHeight="false" outlineLevel="0" collapsed="false">
      <c r="A332" s="19" t="s">
        <v>2430</v>
      </c>
      <c r="B332" s="19" t="s">
        <v>47</v>
      </c>
      <c r="C332" s="19" t="str">
        <f aca="false">IFERROR(INDEX('Agent Roster'!$B:$B,MATCH(B332,'Agent Roster'!$A:$A,0)),"UNASSIGNED")</f>
        <v>Founder / Operator (HUMAN)</v>
      </c>
      <c r="D332" s="19" t="str">
        <f aca="false">IFERROR(INDEX('Agent Roster'!$D:$D,MATCH(B332,'Agent Roster'!$A:$A,0)),"UNASSIGNED")</f>
        <v>Governance &amp; Meta-Tier</v>
      </c>
      <c r="E332" s="19" t="s">
        <v>2423</v>
      </c>
      <c r="F332" s="19" t="s">
        <v>2431</v>
      </c>
      <c r="G332" s="19" t="s">
        <v>1315</v>
      </c>
      <c r="H332" s="19" t="s">
        <v>2425</v>
      </c>
      <c r="I332" s="19" t="s">
        <v>2432</v>
      </c>
      <c r="J332" s="19" t="s">
        <v>51</v>
      </c>
      <c r="K332" s="19" t="s">
        <v>1330</v>
      </c>
      <c r="L332" s="19" t="s">
        <v>1331</v>
      </c>
      <c r="M332" s="19" t="s">
        <v>47</v>
      </c>
      <c r="N332" s="19" t="s">
        <v>1657</v>
      </c>
      <c r="O332" s="19" t="s">
        <v>2060</v>
      </c>
    </row>
    <row r="333" customFormat="false" ht="22.35" hidden="false" customHeight="false" outlineLevel="0" collapsed="false">
      <c r="A333" s="19" t="s">
        <v>2433</v>
      </c>
      <c r="B333" s="19" t="s">
        <v>47</v>
      </c>
      <c r="C333" s="19" t="str">
        <f aca="false">IFERROR(INDEX('Agent Roster'!$B:$B,MATCH(B333,'Agent Roster'!$A:$A,0)),"UNASSIGNED")</f>
        <v>Founder / Operator (HUMAN)</v>
      </c>
      <c r="D333" s="19" t="str">
        <f aca="false">IFERROR(INDEX('Agent Roster'!$D:$D,MATCH(B333,'Agent Roster'!$A:$A,0)),"UNASSIGNED")</f>
        <v>Governance &amp; Meta-Tier</v>
      </c>
      <c r="E333" s="19" t="s">
        <v>2423</v>
      </c>
      <c r="F333" s="19" t="s">
        <v>2434</v>
      </c>
      <c r="G333" s="19" t="s">
        <v>1315</v>
      </c>
      <c r="H333" s="19" t="s">
        <v>2425</v>
      </c>
      <c r="I333" s="19" t="s">
        <v>2435</v>
      </c>
      <c r="J333" s="19" t="s">
        <v>51</v>
      </c>
      <c r="K333" s="19" t="s">
        <v>1335</v>
      </c>
      <c r="L333" s="19" t="s">
        <v>1336</v>
      </c>
      <c r="M333" s="19" t="s">
        <v>47</v>
      </c>
      <c r="N333" s="19" t="s">
        <v>1657</v>
      </c>
      <c r="O333" s="19" t="s">
        <v>2060</v>
      </c>
    </row>
    <row r="334" customFormat="false" ht="22.35" hidden="false" customHeight="false" outlineLevel="0" collapsed="false">
      <c r="A334" s="19" t="s">
        <v>2436</v>
      </c>
      <c r="B334" s="19" t="s">
        <v>47</v>
      </c>
      <c r="C334" s="19" t="str">
        <f aca="false">IFERROR(INDEX('Agent Roster'!$B:$B,MATCH(B334,'Agent Roster'!$A:$A,0)),"UNASSIGNED")</f>
        <v>Founder / Operator (HUMAN)</v>
      </c>
      <c r="D334" s="19" t="str">
        <f aca="false">IFERROR(INDEX('Agent Roster'!$D:$D,MATCH(B334,'Agent Roster'!$A:$A,0)),"UNASSIGNED")</f>
        <v>Governance &amp; Meta-Tier</v>
      </c>
      <c r="E334" s="19" t="s">
        <v>2423</v>
      </c>
      <c r="F334" s="19" t="s">
        <v>2437</v>
      </c>
      <c r="G334" s="19" t="s">
        <v>1315</v>
      </c>
      <c r="H334" s="19" t="s">
        <v>2425</v>
      </c>
      <c r="I334" s="19" t="s">
        <v>2438</v>
      </c>
      <c r="J334" s="19" t="s">
        <v>51</v>
      </c>
      <c r="K334" s="19" t="s">
        <v>1340</v>
      </c>
      <c r="L334" s="19" t="s">
        <v>1341</v>
      </c>
      <c r="M334" s="19" t="s">
        <v>47</v>
      </c>
      <c r="N334" s="19" t="s">
        <v>1657</v>
      </c>
      <c r="O334" s="19" t="s">
        <v>2060</v>
      </c>
    </row>
    <row r="335" customFormat="false" ht="22.35" hidden="false" customHeight="false" outlineLevel="0" collapsed="false">
      <c r="A335" s="19" t="s">
        <v>2439</v>
      </c>
      <c r="B335" s="19" t="s">
        <v>47</v>
      </c>
      <c r="C335" s="19" t="str">
        <f aca="false">IFERROR(INDEX('Agent Roster'!$B:$B,MATCH(B335,'Agent Roster'!$A:$A,0)),"UNASSIGNED")</f>
        <v>Founder / Operator (HUMAN)</v>
      </c>
      <c r="D335" s="19" t="str">
        <f aca="false">IFERROR(INDEX('Agent Roster'!$D:$D,MATCH(B335,'Agent Roster'!$A:$A,0)),"UNASSIGNED")</f>
        <v>Governance &amp; Meta-Tier</v>
      </c>
      <c r="E335" s="19" t="s">
        <v>2423</v>
      </c>
      <c r="F335" s="19" t="s">
        <v>2440</v>
      </c>
      <c r="G335" s="19" t="s">
        <v>1315</v>
      </c>
      <c r="H335" s="19" t="s">
        <v>2425</v>
      </c>
      <c r="I335" s="19" t="s">
        <v>2441</v>
      </c>
      <c r="J335" s="19" t="s">
        <v>51</v>
      </c>
      <c r="K335" s="19" t="s">
        <v>1345</v>
      </c>
      <c r="L335" s="19" t="s">
        <v>1346</v>
      </c>
      <c r="M335" s="19" t="s">
        <v>47</v>
      </c>
      <c r="N335" s="19" t="s">
        <v>1657</v>
      </c>
      <c r="O335" s="19" t="s">
        <v>2060</v>
      </c>
    </row>
    <row r="336" customFormat="false" ht="22.35" hidden="false" customHeight="false" outlineLevel="0" collapsed="false">
      <c r="A336" s="19" t="s">
        <v>2442</v>
      </c>
      <c r="B336" s="19" t="s">
        <v>47</v>
      </c>
      <c r="C336" s="19" t="str">
        <f aca="false">IFERROR(INDEX('Agent Roster'!$B:$B,MATCH(B336,'Agent Roster'!$A:$A,0)),"UNASSIGNED")</f>
        <v>Founder / Operator (HUMAN)</v>
      </c>
      <c r="D336" s="19" t="str">
        <f aca="false">IFERROR(INDEX('Agent Roster'!$D:$D,MATCH(B336,'Agent Roster'!$A:$A,0)),"UNASSIGNED")</f>
        <v>Governance &amp; Meta-Tier</v>
      </c>
      <c r="E336" s="19" t="s">
        <v>2423</v>
      </c>
      <c r="F336" s="19" t="s">
        <v>2443</v>
      </c>
      <c r="G336" s="19" t="s">
        <v>1315</v>
      </c>
      <c r="H336" s="19" t="s">
        <v>2425</v>
      </c>
      <c r="I336" s="19" t="s">
        <v>2444</v>
      </c>
      <c r="J336" s="19" t="s">
        <v>51</v>
      </c>
      <c r="K336" s="19" t="s">
        <v>1350</v>
      </c>
      <c r="L336" s="19" t="s">
        <v>1351</v>
      </c>
      <c r="M336" s="19" t="s">
        <v>47</v>
      </c>
      <c r="N336" s="19" t="s">
        <v>1657</v>
      </c>
      <c r="O336" s="19" t="s">
        <v>2060</v>
      </c>
    </row>
    <row r="337" customFormat="false" ht="22.35" hidden="false" customHeight="false" outlineLevel="0" collapsed="false">
      <c r="A337" s="19" t="s">
        <v>2445</v>
      </c>
      <c r="B337" s="19" t="s">
        <v>47</v>
      </c>
      <c r="C337" s="19" t="str">
        <f aca="false">IFERROR(INDEX('Agent Roster'!$B:$B,MATCH(B337,'Agent Roster'!$A:$A,0)),"UNASSIGNED")</f>
        <v>Founder / Operator (HUMAN)</v>
      </c>
      <c r="D337" s="19" t="str">
        <f aca="false">IFERROR(INDEX('Agent Roster'!$D:$D,MATCH(B337,'Agent Roster'!$A:$A,0)),"UNASSIGNED")</f>
        <v>Governance &amp; Meta-Tier</v>
      </c>
      <c r="E337" s="19" t="s">
        <v>2423</v>
      </c>
      <c r="F337" s="19" t="s">
        <v>2446</v>
      </c>
      <c r="G337" s="19" t="s">
        <v>1315</v>
      </c>
      <c r="H337" s="19" t="s">
        <v>2425</v>
      </c>
      <c r="I337" s="19" t="s">
        <v>2447</v>
      </c>
      <c r="J337" s="19" t="s">
        <v>51</v>
      </c>
      <c r="K337" s="19" t="s">
        <v>1355</v>
      </c>
      <c r="L337" s="19" t="s">
        <v>1376</v>
      </c>
      <c r="M337" s="19" t="s">
        <v>1377</v>
      </c>
      <c r="N337" s="19" t="s">
        <v>1657</v>
      </c>
      <c r="O337" s="19" t="s">
        <v>2060</v>
      </c>
    </row>
    <row r="338" customFormat="false" ht="22.35" hidden="false" customHeight="false" outlineLevel="0" collapsed="false">
      <c r="A338" s="19" t="s">
        <v>2448</v>
      </c>
      <c r="B338" s="19" t="s">
        <v>47</v>
      </c>
      <c r="C338" s="19" t="str">
        <f aca="false">IFERROR(INDEX('Agent Roster'!$B:$B,MATCH(B338,'Agent Roster'!$A:$A,0)),"UNASSIGNED")</f>
        <v>Founder / Operator (HUMAN)</v>
      </c>
      <c r="D338" s="19" t="str">
        <f aca="false">IFERROR(INDEX('Agent Roster'!$D:$D,MATCH(B338,'Agent Roster'!$A:$A,0)),"UNASSIGNED")</f>
        <v>Governance &amp; Meta-Tier</v>
      </c>
      <c r="E338" s="19" t="s">
        <v>2449</v>
      </c>
      <c r="F338" s="19" t="s">
        <v>2450</v>
      </c>
      <c r="G338" s="19" t="s">
        <v>1315</v>
      </c>
      <c r="H338" s="19" t="s">
        <v>2451</v>
      </c>
      <c r="I338" s="19" t="s">
        <v>2452</v>
      </c>
      <c r="J338" s="19" t="s">
        <v>51</v>
      </c>
      <c r="K338" s="19" t="s">
        <v>1319</v>
      </c>
      <c r="L338" s="19" t="s">
        <v>1320</v>
      </c>
      <c r="M338" s="19" t="s">
        <v>47</v>
      </c>
      <c r="N338" s="19" t="s">
        <v>1657</v>
      </c>
      <c r="O338" s="19" t="s">
        <v>2060</v>
      </c>
    </row>
    <row r="339" customFormat="false" ht="22.35" hidden="false" customHeight="false" outlineLevel="0" collapsed="false">
      <c r="A339" s="19" t="s">
        <v>2453</v>
      </c>
      <c r="B339" s="19" t="s">
        <v>47</v>
      </c>
      <c r="C339" s="19" t="str">
        <f aca="false">IFERROR(INDEX('Agent Roster'!$B:$B,MATCH(B339,'Agent Roster'!$A:$A,0)),"UNASSIGNED")</f>
        <v>Founder / Operator (HUMAN)</v>
      </c>
      <c r="D339" s="19" t="str">
        <f aca="false">IFERROR(INDEX('Agent Roster'!$D:$D,MATCH(B339,'Agent Roster'!$A:$A,0)),"UNASSIGNED")</f>
        <v>Governance &amp; Meta-Tier</v>
      </c>
      <c r="E339" s="19" t="s">
        <v>2449</v>
      </c>
      <c r="F339" s="19" t="s">
        <v>2454</v>
      </c>
      <c r="G339" s="19" t="s">
        <v>1315</v>
      </c>
      <c r="H339" s="19" t="s">
        <v>2451</v>
      </c>
      <c r="I339" s="19" t="s">
        <v>2455</v>
      </c>
      <c r="J339" s="19" t="s">
        <v>51</v>
      </c>
      <c r="K339" s="19" t="s">
        <v>1325</v>
      </c>
      <c r="L339" s="19" t="s">
        <v>1326</v>
      </c>
      <c r="M339" s="19" t="s">
        <v>47</v>
      </c>
      <c r="N339" s="19" t="s">
        <v>1657</v>
      </c>
      <c r="O339" s="19" t="s">
        <v>2060</v>
      </c>
    </row>
    <row r="340" customFormat="false" ht="22.35" hidden="false" customHeight="false" outlineLevel="0" collapsed="false">
      <c r="A340" s="19" t="s">
        <v>2456</v>
      </c>
      <c r="B340" s="19" t="s">
        <v>47</v>
      </c>
      <c r="C340" s="19" t="str">
        <f aca="false">IFERROR(INDEX('Agent Roster'!$B:$B,MATCH(B340,'Agent Roster'!$A:$A,0)),"UNASSIGNED")</f>
        <v>Founder / Operator (HUMAN)</v>
      </c>
      <c r="D340" s="19" t="str">
        <f aca="false">IFERROR(INDEX('Agent Roster'!$D:$D,MATCH(B340,'Agent Roster'!$A:$A,0)),"UNASSIGNED")</f>
        <v>Governance &amp; Meta-Tier</v>
      </c>
      <c r="E340" s="19" t="s">
        <v>2449</v>
      </c>
      <c r="F340" s="19" t="s">
        <v>2457</v>
      </c>
      <c r="G340" s="19" t="s">
        <v>1315</v>
      </c>
      <c r="H340" s="19" t="s">
        <v>2451</v>
      </c>
      <c r="I340" s="19" t="s">
        <v>2458</v>
      </c>
      <c r="J340" s="19" t="s">
        <v>51</v>
      </c>
      <c r="K340" s="19" t="s">
        <v>1330</v>
      </c>
      <c r="L340" s="19" t="s">
        <v>1331</v>
      </c>
      <c r="M340" s="19" t="s">
        <v>47</v>
      </c>
      <c r="N340" s="19" t="s">
        <v>1657</v>
      </c>
      <c r="O340" s="19" t="s">
        <v>2060</v>
      </c>
    </row>
    <row r="341" customFormat="false" ht="22.35" hidden="false" customHeight="false" outlineLevel="0" collapsed="false">
      <c r="A341" s="19" t="s">
        <v>2459</v>
      </c>
      <c r="B341" s="19" t="s">
        <v>47</v>
      </c>
      <c r="C341" s="19" t="str">
        <f aca="false">IFERROR(INDEX('Agent Roster'!$B:$B,MATCH(B341,'Agent Roster'!$A:$A,0)),"UNASSIGNED")</f>
        <v>Founder / Operator (HUMAN)</v>
      </c>
      <c r="D341" s="19" t="str">
        <f aca="false">IFERROR(INDEX('Agent Roster'!$D:$D,MATCH(B341,'Agent Roster'!$A:$A,0)),"UNASSIGNED")</f>
        <v>Governance &amp; Meta-Tier</v>
      </c>
      <c r="E341" s="19" t="s">
        <v>2449</v>
      </c>
      <c r="F341" s="19" t="s">
        <v>2460</v>
      </c>
      <c r="G341" s="19" t="s">
        <v>1315</v>
      </c>
      <c r="H341" s="19" t="s">
        <v>2451</v>
      </c>
      <c r="I341" s="19" t="s">
        <v>2461</v>
      </c>
      <c r="J341" s="19" t="s">
        <v>51</v>
      </c>
      <c r="K341" s="19" t="s">
        <v>1335</v>
      </c>
      <c r="L341" s="19" t="s">
        <v>1336</v>
      </c>
      <c r="M341" s="19" t="s">
        <v>47</v>
      </c>
      <c r="N341" s="19" t="s">
        <v>1657</v>
      </c>
      <c r="O341" s="19" t="s">
        <v>2060</v>
      </c>
    </row>
    <row r="342" customFormat="false" ht="22.35" hidden="false" customHeight="false" outlineLevel="0" collapsed="false">
      <c r="A342" s="19" t="s">
        <v>2462</v>
      </c>
      <c r="B342" s="19" t="s">
        <v>47</v>
      </c>
      <c r="C342" s="19" t="str">
        <f aca="false">IFERROR(INDEX('Agent Roster'!$B:$B,MATCH(B342,'Agent Roster'!$A:$A,0)),"UNASSIGNED")</f>
        <v>Founder / Operator (HUMAN)</v>
      </c>
      <c r="D342" s="19" t="str">
        <f aca="false">IFERROR(INDEX('Agent Roster'!$D:$D,MATCH(B342,'Agent Roster'!$A:$A,0)),"UNASSIGNED")</f>
        <v>Governance &amp; Meta-Tier</v>
      </c>
      <c r="E342" s="19" t="s">
        <v>2449</v>
      </c>
      <c r="F342" s="19" t="s">
        <v>2463</v>
      </c>
      <c r="G342" s="19" t="s">
        <v>1315</v>
      </c>
      <c r="H342" s="19" t="s">
        <v>2451</v>
      </c>
      <c r="I342" s="19" t="s">
        <v>2464</v>
      </c>
      <c r="J342" s="19" t="s">
        <v>51</v>
      </c>
      <c r="K342" s="19" t="s">
        <v>1340</v>
      </c>
      <c r="L342" s="19" t="s">
        <v>1341</v>
      </c>
      <c r="M342" s="19" t="s">
        <v>47</v>
      </c>
      <c r="N342" s="19" t="s">
        <v>1657</v>
      </c>
      <c r="O342" s="19" t="s">
        <v>2060</v>
      </c>
    </row>
    <row r="343" customFormat="false" ht="22.35" hidden="false" customHeight="false" outlineLevel="0" collapsed="false">
      <c r="A343" s="19" t="s">
        <v>2465</v>
      </c>
      <c r="B343" s="19" t="s">
        <v>47</v>
      </c>
      <c r="C343" s="19" t="str">
        <f aca="false">IFERROR(INDEX('Agent Roster'!$B:$B,MATCH(B343,'Agent Roster'!$A:$A,0)),"UNASSIGNED")</f>
        <v>Founder / Operator (HUMAN)</v>
      </c>
      <c r="D343" s="19" t="str">
        <f aca="false">IFERROR(INDEX('Agent Roster'!$D:$D,MATCH(B343,'Agent Roster'!$A:$A,0)),"UNASSIGNED")</f>
        <v>Governance &amp; Meta-Tier</v>
      </c>
      <c r="E343" s="19" t="s">
        <v>2449</v>
      </c>
      <c r="F343" s="19" t="s">
        <v>2466</v>
      </c>
      <c r="G343" s="19" t="s">
        <v>1315</v>
      </c>
      <c r="H343" s="19" t="s">
        <v>2451</v>
      </c>
      <c r="I343" s="19" t="s">
        <v>2467</v>
      </c>
      <c r="J343" s="19" t="s">
        <v>51</v>
      </c>
      <c r="K343" s="19" t="s">
        <v>1345</v>
      </c>
      <c r="L343" s="19" t="s">
        <v>1346</v>
      </c>
      <c r="M343" s="19" t="s">
        <v>47</v>
      </c>
      <c r="N343" s="19" t="s">
        <v>1657</v>
      </c>
      <c r="O343" s="19" t="s">
        <v>2060</v>
      </c>
    </row>
    <row r="344" customFormat="false" ht="22.35" hidden="false" customHeight="false" outlineLevel="0" collapsed="false">
      <c r="A344" s="19" t="s">
        <v>2468</v>
      </c>
      <c r="B344" s="19" t="s">
        <v>47</v>
      </c>
      <c r="C344" s="19" t="str">
        <f aca="false">IFERROR(INDEX('Agent Roster'!$B:$B,MATCH(B344,'Agent Roster'!$A:$A,0)),"UNASSIGNED")</f>
        <v>Founder / Operator (HUMAN)</v>
      </c>
      <c r="D344" s="19" t="str">
        <f aca="false">IFERROR(INDEX('Agent Roster'!$D:$D,MATCH(B344,'Agent Roster'!$A:$A,0)),"UNASSIGNED")</f>
        <v>Governance &amp; Meta-Tier</v>
      </c>
      <c r="E344" s="19" t="s">
        <v>2449</v>
      </c>
      <c r="F344" s="19" t="s">
        <v>2469</v>
      </c>
      <c r="G344" s="19" t="s">
        <v>1315</v>
      </c>
      <c r="H344" s="19" t="s">
        <v>2451</v>
      </c>
      <c r="I344" s="19" t="s">
        <v>2470</v>
      </c>
      <c r="J344" s="19" t="s">
        <v>51</v>
      </c>
      <c r="K344" s="19" t="s">
        <v>1350</v>
      </c>
      <c r="L344" s="19" t="s">
        <v>1351</v>
      </c>
      <c r="M344" s="19" t="s">
        <v>47</v>
      </c>
      <c r="N344" s="19" t="s">
        <v>1657</v>
      </c>
      <c r="O344" s="19" t="s">
        <v>2060</v>
      </c>
    </row>
    <row r="345" customFormat="false" ht="22.35" hidden="false" customHeight="false" outlineLevel="0" collapsed="false">
      <c r="A345" s="19" t="s">
        <v>2471</v>
      </c>
      <c r="B345" s="19" t="s">
        <v>47</v>
      </c>
      <c r="C345" s="19" t="str">
        <f aca="false">IFERROR(INDEX('Agent Roster'!$B:$B,MATCH(B345,'Agent Roster'!$A:$A,0)),"UNASSIGNED")</f>
        <v>Founder / Operator (HUMAN)</v>
      </c>
      <c r="D345" s="19" t="str">
        <f aca="false">IFERROR(INDEX('Agent Roster'!$D:$D,MATCH(B345,'Agent Roster'!$A:$A,0)),"UNASSIGNED")</f>
        <v>Governance &amp; Meta-Tier</v>
      </c>
      <c r="E345" s="19" t="s">
        <v>2449</v>
      </c>
      <c r="F345" s="19" t="s">
        <v>2472</v>
      </c>
      <c r="G345" s="19" t="s">
        <v>1315</v>
      </c>
      <c r="H345" s="19" t="s">
        <v>2451</v>
      </c>
      <c r="I345" s="19" t="s">
        <v>2473</v>
      </c>
      <c r="J345" s="19" t="s">
        <v>51</v>
      </c>
      <c r="K345" s="19" t="s">
        <v>1355</v>
      </c>
      <c r="L345" s="19" t="s">
        <v>1376</v>
      </c>
      <c r="M345" s="19" t="s">
        <v>1377</v>
      </c>
      <c r="N345" s="19" t="s">
        <v>1657</v>
      </c>
      <c r="O345" s="19" t="s">
        <v>2060</v>
      </c>
    </row>
    <row r="346" customFormat="false" ht="22.35" hidden="false" customHeight="false" outlineLevel="0" collapsed="false">
      <c r="A346" s="19" t="s">
        <v>2474</v>
      </c>
      <c r="B346" s="19" t="s">
        <v>47</v>
      </c>
      <c r="C346" s="19" t="str">
        <f aca="false">IFERROR(INDEX('Agent Roster'!$B:$B,MATCH(B346,'Agent Roster'!$A:$A,0)),"UNASSIGNED")</f>
        <v>Founder / Operator (HUMAN)</v>
      </c>
      <c r="D346" s="19" t="str">
        <f aca="false">IFERROR(INDEX('Agent Roster'!$D:$D,MATCH(B346,'Agent Roster'!$A:$A,0)),"UNASSIGNED")</f>
        <v>Governance &amp; Meta-Tier</v>
      </c>
      <c r="E346" s="19" t="s">
        <v>2475</v>
      </c>
      <c r="F346" s="19" t="s">
        <v>2476</v>
      </c>
      <c r="G346" s="19" t="s">
        <v>1315</v>
      </c>
      <c r="H346" s="19" t="s">
        <v>2477</v>
      </c>
      <c r="I346" s="19" t="s">
        <v>2478</v>
      </c>
      <c r="J346" s="19" t="s">
        <v>51</v>
      </c>
      <c r="K346" s="19" t="s">
        <v>1319</v>
      </c>
      <c r="L346" s="19" t="s">
        <v>1320</v>
      </c>
      <c r="M346" s="19" t="s">
        <v>47</v>
      </c>
      <c r="N346" s="19" t="s">
        <v>1657</v>
      </c>
      <c r="O346" s="19" t="s">
        <v>2060</v>
      </c>
    </row>
    <row r="347" customFormat="false" ht="22.35" hidden="false" customHeight="false" outlineLevel="0" collapsed="false">
      <c r="A347" s="19" t="s">
        <v>2479</v>
      </c>
      <c r="B347" s="19" t="s">
        <v>47</v>
      </c>
      <c r="C347" s="19" t="str">
        <f aca="false">IFERROR(INDEX('Agent Roster'!$B:$B,MATCH(B347,'Agent Roster'!$A:$A,0)),"UNASSIGNED")</f>
        <v>Founder / Operator (HUMAN)</v>
      </c>
      <c r="D347" s="19" t="str">
        <f aca="false">IFERROR(INDEX('Agent Roster'!$D:$D,MATCH(B347,'Agent Roster'!$A:$A,0)),"UNASSIGNED")</f>
        <v>Governance &amp; Meta-Tier</v>
      </c>
      <c r="E347" s="19" t="s">
        <v>2475</v>
      </c>
      <c r="F347" s="19" t="s">
        <v>2480</v>
      </c>
      <c r="G347" s="19" t="s">
        <v>1315</v>
      </c>
      <c r="H347" s="19" t="s">
        <v>2477</v>
      </c>
      <c r="I347" s="19" t="s">
        <v>2481</v>
      </c>
      <c r="J347" s="19" t="s">
        <v>51</v>
      </c>
      <c r="K347" s="19" t="s">
        <v>1325</v>
      </c>
      <c r="L347" s="19" t="s">
        <v>1326</v>
      </c>
      <c r="M347" s="19" t="s">
        <v>47</v>
      </c>
      <c r="N347" s="19" t="s">
        <v>1657</v>
      </c>
      <c r="O347" s="19" t="s">
        <v>2060</v>
      </c>
    </row>
    <row r="348" customFormat="false" ht="22.35" hidden="false" customHeight="false" outlineLevel="0" collapsed="false">
      <c r="A348" s="19" t="s">
        <v>2482</v>
      </c>
      <c r="B348" s="19" t="s">
        <v>47</v>
      </c>
      <c r="C348" s="19" t="str">
        <f aca="false">IFERROR(INDEX('Agent Roster'!$B:$B,MATCH(B348,'Agent Roster'!$A:$A,0)),"UNASSIGNED")</f>
        <v>Founder / Operator (HUMAN)</v>
      </c>
      <c r="D348" s="19" t="str">
        <f aca="false">IFERROR(INDEX('Agent Roster'!$D:$D,MATCH(B348,'Agent Roster'!$A:$A,0)),"UNASSIGNED")</f>
        <v>Governance &amp; Meta-Tier</v>
      </c>
      <c r="E348" s="19" t="s">
        <v>2475</v>
      </c>
      <c r="F348" s="19" t="s">
        <v>2483</v>
      </c>
      <c r="G348" s="19" t="s">
        <v>1315</v>
      </c>
      <c r="H348" s="19" t="s">
        <v>2477</v>
      </c>
      <c r="I348" s="19" t="s">
        <v>2484</v>
      </c>
      <c r="J348" s="19" t="s">
        <v>51</v>
      </c>
      <c r="K348" s="19" t="s">
        <v>1330</v>
      </c>
      <c r="L348" s="19" t="s">
        <v>1331</v>
      </c>
      <c r="M348" s="19" t="s">
        <v>47</v>
      </c>
      <c r="N348" s="19" t="s">
        <v>1657</v>
      </c>
      <c r="O348" s="19" t="s">
        <v>2060</v>
      </c>
    </row>
    <row r="349" customFormat="false" ht="22.35" hidden="false" customHeight="false" outlineLevel="0" collapsed="false">
      <c r="A349" s="19" t="s">
        <v>2485</v>
      </c>
      <c r="B349" s="19" t="s">
        <v>47</v>
      </c>
      <c r="C349" s="19" t="str">
        <f aca="false">IFERROR(INDEX('Agent Roster'!$B:$B,MATCH(B349,'Agent Roster'!$A:$A,0)),"UNASSIGNED")</f>
        <v>Founder / Operator (HUMAN)</v>
      </c>
      <c r="D349" s="19" t="str">
        <f aca="false">IFERROR(INDEX('Agent Roster'!$D:$D,MATCH(B349,'Agent Roster'!$A:$A,0)),"UNASSIGNED")</f>
        <v>Governance &amp; Meta-Tier</v>
      </c>
      <c r="E349" s="19" t="s">
        <v>2475</v>
      </c>
      <c r="F349" s="19" t="s">
        <v>2486</v>
      </c>
      <c r="G349" s="19" t="s">
        <v>1315</v>
      </c>
      <c r="H349" s="19" t="s">
        <v>2477</v>
      </c>
      <c r="I349" s="19" t="s">
        <v>2487</v>
      </c>
      <c r="J349" s="19" t="s">
        <v>51</v>
      </c>
      <c r="K349" s="19" t="s">
        <v>1335</v>
      </c>
      <c r="L349" s="19" t="s">
        <v>1336</v>
      </c>
      <c r="M349" s="19" t="s">
        <v>47</v>
      </c>
      <c r="N349" s="19" t="s">
        <v>1657</v>
      </c>
      <c r="O349" s="19" t="s">
        <v>2060</v>
      </c>
    </row>
    <row r="350" customFormat="false" ht="22.35" hidden="false" customHeight="false" outlineLevel="0" collapsed="false">
      <c r="A350" s="19" t="s">
        <v>2488</v>
      </c>
      <c r="B350" s="19" t="s">
        <v>47</v>
      </c>
      <c r="C350" s="19" t="str">
        <f aca="false">IFERROR(INDEX('Agent Roster'!$B:$B,MATCH(B350,'Agent Roster'!$A:$A,0)),"UNASSIGNED")</f>
        <v>Founder / Operator (HUMAN)</v>
      </c>
      <c r="D350" s="19" t="str">
        <f aca="false">IFERROR(INDEX('Agent Roster'!$D:$D,MATCH(B350,'Agent Roster'!$A:$A,0)),"UNASSIGNED")</f>
        <v>Governance &amp; Meta-Tier</v>
      </c>
      <c r="E350" s="19" t="s">
        <v>2475</v>
      </c>
      <c r="F350" s="19" t="s">
        <v>2489</v>
      </c>
      <c r="G350" s="19" t="s">
        <v>1315</v>
      </c>
      <c r="H350" s="19" t="s">
        <v>2477</v>
      </c>
      <c r="I350" s="19" t="s">
        <v>2490</v>
      </c>
      <c r="J350" s="19" t="s">
        <v>51</v>
      </c>
      <c r="K350" s="19" t="s">
        <v>1340</v>
      </c>
      <c r="L350" s="19" t="s">
        <v>1341</v>
      </c>
      <c r="M350" s="19" t="s">
        <v>47</v>
      </c>
      <c r="N350" s="19" t="s">
        <v>1657</v>
      </c>
      <c r="O350" s="19" t="s">
        <v>2060</v>
      </c>
    </row>
    <row r="351" customFormat="false" ht="22.35" hidden="false" customHeight="false" outlineLevel="0" collapsed="false">
      <c r="A351" s="19" t="s">
        <v>2491</v>
      </c>
      <c r="B351" s="19" t="s">
        <v>47</v>
      </c>
      <c r="C351" s="19" t="str">
        <f aca="false">IFERROR(INDEX('Agent Roster'!$B:$B,MATCH(B351,'Agent Roster'!$A:$A,0)),"UNASSIGNED")</f>
        <v>Founder / Operator (HUMAN)</v>
      </c>
      <c r="D351" s="19" t="str">
        <f aca="false">IFERROR(INDEX('Agent Roster'!$D:$D,MATCH(B351,'Agent Roster'!$A:$A,0)),"UNASSIGNED")</f>
        <v>Governance &amp; Meta-Tier</v>
      </c>
      <c r="E351" s="19" t="s">
        <v>2475</v>
      </c>
      <c r="F351" s="19" t="s">
        <v>2492</v>
      </c>
      <c r="G351" s="19" t="s">
        <v>1315</v>
      </c>
      <c r="H351" s="19" t="s">
        <v>2477</v>
      </c>
      <c r="I351" s="19" t="s">
        <v>2493</v>
      </c>
      <c r="J351" s="19" t="s">
        <v>51</v>
      </c>
      <c r="K351" s="19" t="s">
        <v>1345</v>
      </c>
      <c r="L351" s="19" t="s">
        <v>1346</v>
      </c>
      <c r="M351" s="19" t="s">
        <v>47</v>
      </c>
      <c r="N351" s="19" t="s">
        <v>1657</v>
      </c>
      <c r="O351" s="19" t="s">
        <v>2060</v>
      </c>
    </row>
    <row r="352" customFormat="false" ht="22.35" hidden="false" customHeight="false" outlineLevel="0" collapsed="false">
      <c r="A352" s="19" t="s">
        <v>2494</v>
      </c>
      <c r="B352" s="19" t="s">
        <v>47</v>
      </c>
      <c r="C352" s="19" t="str">
        <f aca="false">IFERROR(INDEX('Agent Roster'!$B:$B,MATCH(B352,'Agent Roster'!$A:$A,0)),"UNASSIGNED")</f>
        <v>Founder / Operator (HUMAN)</v>
      </c>
      <c r="D352" s="19" t="str">
        <f aca="false">IFERROR(INDEX('Agent Roster'!$D:$D,MATCH(B352,'Agent Roster'!$A:$A,0)),"UNASSIGNED")</f>
        <v>Governance &amp; Meta-Tier</v>
      </c>
      <c r="E352" s="19" t="s">
        <v>2475</v>
      </c>
      <c r="F352" s="19" t="s">
        <v>2495</v>
      </c>
      <c r="G352" s="19" t="s">
        <v>1315</v>
      </c>
      <c r="H352" s="19" t="s">
        <v>2477</v>
      </c>
      <c r="I352" s="19" t="s">
        <v>2496</v>
      </c>
      <c r="J352" s="19" t="s">
        <v>51</v>
      </c>
      <c r="K352" s="19" t="s">
        <v>1350</v>
      </c>
      <c r="L352" s="19" t="s">
        <v>1351</v>
      </c>
      <c r="M352" s="19" t="s">
        <v>47</v>
      </c>
      <c r="N352" s="19" t="s">
        <v>1657</v>
      </c>
      <c r="O352" s="19" t="s">
        <v>2060</v>
      </c>
    </row>
    <row r="353" customFormat="false" ht="22.35" hidden="false" customHeight="false" outlineLevel="0" collapsed="false">
      <c r="A353" s="19" t="s">
        <v>2497</v>
      </c>
      <c r="B353" s="19" t="s">
        <v>47</v>
      </c>
      <c r="C353" s="19" t="str">
        <f aca="false">IFERROR(INDEX('Agent Roster'!$B:$B,MATCH(B353,'Agent Roster'!$A:$A,0)),"UNASSIGNED")</f>
        <v>Founder / Operator (HUMAN)</v>
      </c>
      <c r="D353" s="19" t="str">
        <f aca="false">IFERROR(INDEX('Agent Roster'!$D:$D,MATCH(B353,'Agent Roster'!$A:$A,0)),"UNASSIGNED")</f>
        <v>Governance &amp; Meta-Tier</v>
      </c>
      <c r="E353" s="19" t="s">
        <v>2475</v>
      </c>
      <c r="F353" s="19" t="s">
        <v>2498</v>
      </c>
      <c r="G353" s="19" t="s">
        <v>1315</v>
      </c>
      <c r="H353" s="19" t="s">
        <v>2477</v>
      </c>
      <c r="I353" s="19" t="s">
        <v>2499</v>
      </c>
      <c r="J353" s="19" t="s">
        <v>51</v>
      </c>
      <c r="K353" s="19" t="s">
        <v>1355</v>
      </c>
      <c r="L353" s="19" t="s">
        <v>1356</v>
      </c>
      <c r="M353" s="19" t="s">
        <v>47</v>
      </c>
      <c r="N353" s="19" t="s">
        <v>1657</v>
      </c>
      <c r="O353" s="19" t="s">
        <v>2060</v>
      </c>
    </row>
    <row r="354" customFormat="false" ht="22.35" hidden="false" customHeight="false" outlineLevel="0" collapsed="false">
      <c r="A354" s="19" t="s">
        <v>2500</v>
      </c>
      <c r="B354" s="19" t="s">
        <v>47</v>
      </c>
      <c r="C354" s="19" t="str">
        <f aca="false">IFERROR(INDEX('Agent Roster'!$B:$B,MATCH(B354,'Agent Roster'!$A:$A,0)),"UNASSIGNED")</f>
        <v>Founder / Operator (HUMAN)</v>
      </c>
      <c r="D354" s="19" t="str">
        <f aca="false">IFERROR(INDEX('Agent Roster'!$D:$D,MATCH(B354,'Agent Roster'!$A:$A,0)),"UNASSIGNED")</f>
        <v>Governance &amp; Meta-Tier</v>
      </c>
      <c r="E354" s="19" t="s">
        <v>2475</v>
      </c>
      <c r="F354" s="19" t="s">
        <v>2501</v>
      </c>
      <c r="G354" s="19" t="s">
        <v>1315</v>
      </c>
      <c r="H354" s="19" t="s">
        <v>2477</v>
      </c>
      <c r="I354" s="19" t="s">
        <v>2502</v>
      </c>
      <c r="J354" s="19" t="s">
        <v>51</v>
      </c>
      <c r="K354" s="19" t="s">
        <v>1360</v>
      </c>
      <c r="L354" s="19" t="s">
        <v>1376</v>
      </c>
      <c r="M354" s="19" t="s">
        <v>1377</v>
      </c>
      <c r="N354" s="19" t="s">
        <v>1657</v>
      </c>
      <c r="O354" s="19" t="s">
        <v>2060</v>
      </c>
    </row>
    <row r="355" customFormat="false" ht="22.35" hidden="false" customHeight="false" outlineLevel="0" collapsed="false">
      <c r="A355" s="19" t="s">
        <v>2503</v>
      </c>
      <c r="B355" s="19" t="s">
        <v>149</v>
      </c>
      <c r="C355" s="19" t="str">
        <f aca="false">IFERROR(INDEX('Agent Roster'!$B:$B,MATCH(B355,'Agent Roster'!$A:$A,0)),"UNASSIGNED")</f>
        <v>Intake &amp; Triage Agent (Layer 0 Base Code)</v>
      </c>
      <c r="D355" s="19" t="str">
        <f aca="false">IFERROR(INDEX('Agent Roster'!$D:$D,MATCH(B355,'Agent Roster'!$A:$A,0)),"UNASSIGNED")</f>
        <v>Orchestration &amp; Diagnostics</v>
      </c>
      <c r="E355" s="19" t="s">
        <v>2504</v>
      </c>
      <c r="F355" s="19" t="s">
        <v>2505</v>
      </c>
      <c r="G355" s="19" t="s">
        <v>1315</v>
      </c>
      <c r="H355" s="19" t="s">
        <v>2506</v>
      </c>
      <c r="I355" s="19" t="s">
        <v>2507</v>
      </c>
      <c r="J355" s="19" t="s">
        <v>2508</v>
      </c>
      <c r="K355" s="19" t="s">
        <v>1319</v>
      </c>
      <c r="L355" s="19" t="s">
        <v>1320</v>
      </c>
      <c r="M355" s="19" t="s">
        <v>149</v>
      </c>
      <c r="N355" s="19"/>
      <c r="O355" s="19" t="s">
        <v>1321</v>
      </c>
    </row>
    <row r="356" customFormat="false" ht="22.35" hidden="false" customHeight="false" outlineLevel="0" collapsed="false">
      <c r="A356" s="19" t="s">
        <v>2509</v>
      </c>
      <c r="B356" s="19" t="s">
        <v>149</v>
      </c>
      <c r="C356" s="19" t="str">
        <f aca="false">IFERROR(INDEX('Agent Roster'!$B:$B,MATCH(B356,'Agent Roster'!$A:$A,0)),"UNASSIGNED")</f>
        <v>Intake &amp; Triage Agent (Layer 0 Base Code)</v>
      </c>
      <c r="D356" s="19" t="str">
        <f aca="false">IFERROR(INDEX('Agent Roster'!$D:$D,MATCH(B356,'Agent Roster'!$A:$A,0)),"UNASSIGNED")</f>
        <v>Orchestration &amp; Diagnostics</v>
      </c>
      <c r="E356" s="19" t="s">
        <v>2504</v>
      </c>
      <c r="F356" s="19" t="s">
        <v>2510</v>
      </c>
      <c r="G356" s="19" t="s">
        <v>1315</v>
      </c>
      <c r="H356" s="19" t="s">
        <v>2506</v>
      </c>
      <c r="I356" s="19" t="s">
        <v>2511</v>
      </c>
      <c r="J356" s="19" t="s">
        <v>2508</v>
      </c>
      <c r="K356" s="19" t="s">
        <v>1325</v>
      </c>
      <c r="L356" s="19" t="s">
        <v>1326</v>
      </c>
      <c r="M356" s="19" t="s">
        <v>149</v>
      </c>
      <c r="N356" s="19"/>
      <c r="O356" s="19" t="s">
        <v>1321</v>
      </c>
    </row>
    <row r="357" customFormat="false" ht="22.35" hidden="false" customHeight="false" outlineLevel="0" collapsed="false">
      <c r="A357" s="19" t="s">
        <v>2512</v>
      </c>
      <c r="B357" s="19" t="s">
        <v>149</v>
      </c>
      <c r="C357" s="19" t="str">
        <f aca="false">IFERROR(INDEX('Agent Roster'!$B:$B,MATCH(B357,'Agent Roster'!$A:$A,0)),"UNASSIGNED")</f>
        <v>Intake &amp; Triage Agent (Layer 0 Base Code)</v>
      </c>
      <c r="D357" s="19" t="str">
        <f aca="false">IFERROR(INDEX('Agent Roster'!$D:$D,MATCH(B357,'Agent Roster'!$A:$A,0)),"UNASSIGNED")</f>
        <v>Orchestration &amp; Diagnostics</v>
      </c>
      <c r="E357" s="19" t="s">
        <v>2504</v>
      </c>
      <c r="F357" s="19" t="s">
        <v>2513</v>
      </c>
      <c r="G357" s="19" t="s">
        <v>1315</v>
      </c>
      <c r="H357" s="19" t="s">
        <v>2506</v>
      </c>
      <c r="I357" s="19" t="s">
        <v>2514</v>
      </c>
      <c r="J357" s="19" t="s">
        <v>2508</v>
      </c>
      <c r="K357" s="19" t="s">
        <v>1330</v>
      </c>
      <c r="L357" s="19" t="s">
        <v>1331</v>
      </c>
      <c r="M357" s="19" t="s">
        <v>149</v>
      </c>
      <c r="N357" s="19"/>
      <c r="O357" s="19" t="s">
        <v>1321</v>
      </c>
    </row>
    <row r="358" customFormat="false" ht="22.35" hidden="false" customHeight="false" outlineLevel="0" collapsed="false">
      <c r="A358" s="19" t="s">
        <v>2515</v>
      </c>
      <c r="B358" s="19" t="s">
        <v>149</v>
      </c>
      <c r="C358" s="19" t="str">
        <f aca="false">IFERROR(INDEX('Agent Roster'!$B:$B,MATCH(B358,'Agent Roster'!$A:$A,0)),"UNASSIGNED")</f>
        <v>Intake &amp; Triage Agent (Layer 0 Base Code)</v>
      </c>
      <c r="D358" s="19" t="str">
        <f aca="false">IFERROR(INDEX('Agent Roster'!$D:$D,MATCH(B358,'Agent Roster'!$A:$A,0)),"UNASSIGNED")</f>
        <v>Orchestration &amp; Diagnostics</v>
      </c>
      <c r="E358" s="19" t="s">
        <v>2504</v>
      </c>
      <c r="F358" s="19" t="s">
        <v>2516</v>
      </c>
      <c r="G358" s="19" t="s">
        <v>1315</v>
      </c>
      <c r="H358" s="19" t="s">
        <v>2506</v>
      </c>
      <c r="I358" s="19" t="s">
        <v>2517</v>
      </c>
      <c r="J358" s="19" t="s">
        <v>2508</v>
      </c>
      <c r="K358" s="19" t="s">
        <v>1335</v>
      </c>
      <c r="L358" s="19" t="s">
        <v>1336</v>
      </c>
      <c r="M358" s="19" t="s">
        <v>149</v>
      </c>
      <c r="N358" s="19"/>
      <c r="O358" s="19" t="s">
        <v>1321</v>
      </c>
    </row>
    <row r="359" customFormat="false" ht="22.35" hidden="false" customHeight="false" outlineLevel="0" collapsed="false">
      <c r="A359" s="19" t="s">
        <v>2518</v>
      </c>
      <c r="B359" s="19" t="s">
        <v>149</v>
      </c>
      <c r="C359" s="19" t="str">
        <f aca="false">IFERROR(INDEX('Agent Roster'!$B:$B,MATCH(B359,'Agent Roster'!$A:$A,0)),"UNASSIGNED")</f>
        <v>Intake &amp; Triage Agent (Layer 0 Base Code)</v>
      </c>
      <c r="D359" s="19" t="str">
        <f aca="false">IFERROR(INDEX('Agent Roster'!$D:$D,MATCH(B359,'Agent Roster'!$A:$A,0)),"UNASSIGNED")</f>
        <v>Orchestration &amp; Diagnostics</v>
      </c>
      <c r="E359" s="19" t="s">
        <v>2504</v>
      </c>
      <c r="F359" s="19" t="s">
        <v>2519</v>
      </c>
      <c r="G359" s="19" t="s">
        <v>1315</v>
      </c>
      <c r="H359" s="19" t="s">
        <v>2506</v>
      </c>
      <c r="I359" s="19" t="s">
        <v>2520</v>
      </c>
      <c r="J359" s="19" t="s">
        <v>2508</v>
      </c>
      <c r="K359" s="19" t="s">
        <v>1340</v>
      </c>
      <c r="L359" s="19" t="s">
        <v>1341</v>
      </c>
      <c r="M359" s="19" t="s">
        <v>149</v>
      </c>
      <c r="N359" s="19"/>
      <c r="O359" s="19" t="s">
        <v>1321</v>
      </c>
    </row>
    <row r="360" customFormat="false" ht="22.35" hidden="false" customHeight="false" outlineLevel="0" collapsed="false">
      <c r="A360" s="19" t="s">
        <v>2521</v>
      </c>
      <c r="B360" s="19" t="s">
        <v>149</v>
      </c>
      <c r="C360" s="19" t="str">
        <f aca="false">IFERROR(INDEX('Agent Roster'!$B:$B,MATCH(B360,'Agent Roster'!$A:$A,0)),"UNASSIGNED")</f>
        <v>Intake &amp; Triage Agent (Layer 0 Base Code)</v>
      </c>
      <c r="D360" s="19" t="str">
        <f aca="false">IFERROR(INDEX('Agent Roster'!$D:$D,MATCH(B360,'Agent Roster'!$A:$A,0)),"UNASSIGNED")</f>
        <v>Orchestration &amp; Diagnostics</v>
      </c>
      <c r="E360" s="19" t="s">
        <v>2504</v>
      </c>
      <c r="F360" s="19" t="s">
        <v>2522</v>
      </c>
      <c r="G360" s="19" t="s">
        <v>1315</v>
      </c>
      <c r="H360" s="19" t="s">
        <v>2506</v>
      </c>
      <c r="I360" s="19" t="s">
        <v>2523</v>
      </c>
      <c r="J360" s="19" t="s">
        <v>2508</v>
      </c>
      <c r="K360" s="19" t="s">
        <v>1345</v>
      </c>
      <c r="L360" s="19" t="s">
        <v>1346</v>
      </c>
      <c r="M360" s="19" t="s">
        <v>149</v>
      </c>
      <c r="N360" s="19"/>
      <c r="O360" s="19" t="s">
        <v>1321</v>
      </c>
    </row>
    <row r="361" customFormat="false" ht="22.35" hidden="false" customHeight="false" outlineLevel="0" collapsed="false">
      <c r="A361" s="19" t="s">
        <v>2524</v>
      </c>
      <c r="B361" s="19" t="s">
        <v>149</v>
      </c>
      <c r="C361" s="19" t="str">
        <f aca="false">IFERROR(INDEX('Agent Roster'!$B:$B,MATCH(B361,'Agent Roster'!$A:$A,0)),"UNASSIGNED")</f>
        <v>Intake &amp; Triage Agent (Layer 0 Base Code)</v>
      </c>
      <c r="D361" s="19" t="str">
        <f aca="false">IFERROR(INDEX('Agent Roster'!$D:$D,MATCH(B361,'Agent Roster'!$A:$A,0)),"UNASSIGNED")</f>
        <v>Orchestration &amp; Diagnostics</v>
      </c>
      <c r="E361" s="19" t="s">
        <v>2504</v>
      </c>
      <c r="F361" s="19" t="s">
        <v>2525</v>
      </c>
      <c r="G361" s="19" t="s">
        <v>1315</v>
      </c>
      <c r="H361" s="19" t="s">
        <v>2506</v>
      </c>
      <c r="I361" s="19" t="s">
        <v>2526</v>
      </c>
      <c r="J361" s="19" t="s">
        <v>2508</v>
      </c>
      <c r="K361" s="19" t="s">
        <v>1350</v>
      </c>
      <c r="L361" s="19" t="s">
        <v>1351</v>
      </c>
      <c r="M361" s="19" t="s">
        <v>149</v>
      </c>
      <c r="N361" s="19"/>
      <c r="O361" s="19" t="s">
        <v>1321</v>
      </c>
    </row>
    <row r="362" customFormat="false" ht="22.35" hidden="false" customHeight="false" outlineLevel="0" collapsed="false">
      <c r="A362" s="19" t="s">
        <v>2527</v>
      </c>
      <c r="B362" s="19" t="s">
        <v>149</v>
      </c>
      <c r="C362" s="19" t="str">
        <f aca="false">IFERROR(INDEX('Agent Roster'!$B:$B,MATCH(B362,'Agent Roster'!$A:$A,0)),"UNASSIGNED")</f>
        <v>Intake &amp; Triage Agent (Layer 0 Base Code)</v>
      </c>
      <c r="D362" s="19" t="str">
        <f aca="false">IFERROR(INDEX('Agent Roster'!$D:$D,MATCH(B362,'Agent Roster'!$A:$A,0)),"UNASSIGNED")</f>
        <v>Orchestration &amp; Diagnostics</v>
      </c>
      <c r="E362" s="19" t="s">
        <v>2504</v>
      </c>
      <c r="F362" s="19" t="s">
        <v>2528</v>
      </c>
      <c r="G362" s="19" t="s">
        <v>1315</v>
      </c>
      <c r="H362" s="19" t="s">
        <v>2506</v>
      </c>
      <c r="I362" s="19" t="s">
        <v>2529</v>
      </c>
      <c r="J362" s="19" t="s">
        <v>2508</v>
      </c>
      <c r="K362" s="19" t="s">
        <v>1355</v>
      </c>
      <c r="L362" s="19" t="s">
        <v>1376</v>
      </c>
      <c r="M362" s="19" t="s">
        <v>1377</v>
      </c>
      <c r="N362" s="19"/>
      <c r="O362" s="19" t="s">
        <v>1321</v>
      </c>
    </row>
    <row r="363" customFormat="false" ht="22.35" hidden="false" customHeight="false" outlineLevel="0" collapsed="false">
      <c r="A363" s="19" t="s">
        <v>2530</v>
      </c>
      <c r="B363" s="19" t="s">
        <v>378</v>
      </c>
      <c r="C363" s="19" t="str">
        <f aca="false">IFERROR(INDEX('Agent Roster'!$B:$B,MATCH(B363,'Agent Roster'!$A:$A,0)),"UNASSIGNED")</f>
        <v>Investigation &amp; Research Agent</v>
      </c>
      <c r="D363" s="19" t="str">
        <f aca="false">IFERROR(INDEX('Agent Roster'!$D:$D,MATCH(B363,'Agent Roster'!$A:$A,0)),"UNASSIGNED")</f>
        <v>Orchestration &amp; Diagnostics</v>
      </c>
      <c r="E363" s="19" t="s">
        <v>2531</v>
      </c>
      <c r="F363" s="19" t="s">
        <v>2532</v>
      </c>
      <c r="G363" s="19" t="s">
        <v>1315</v>
      </c>
      <c r="H363" s="19" t="s">
        <v>2533</v>
      </c>
      <c r="I363" s="19" t="s">
        <v>2534</v>
      </c>
      <c r="J363" s="19" t="s">
        <v>2535</v>
      </c>
      <c r="K363" s="19" t="s">
        <v>1319</v>
      </c>
      <c r="L363" s="19" t="s">
        <v>1320</v>
      </c>
      <c r="M363" s="19" t="s">
        <v>378</v>
      </c>
      <c r="N363" s="19"/>
      <c r="O363" s="19" t="s">
        <v>1321</v>
      </c>
    </row>
    <row r="364" customFormat="false" ht="22.35" hidden="false" customHeight="false" outlineLevel="0" collapsed="false">
      <c r="A364" s="19" t="s">
        <v>2536</v>
      </c>
      <c r="B364" s="19" t="s">
        <v>378</v>
      </c>
      <c r="C364" s="19" t="str">
        <f aca="false">IFERROR(INDEX('Agent Roster'!$B:$B,MATCH(B364,'Agent Roster'!$A:$A,0)),"UNASSIGNED")</f>
        <v>Investigation &amp; Research Agent</v>
      </c>
      <c r="D364" s="19" t="str">
        <f aca="false">IFERROR(INDEX('Agent Roster'!$D:$D,MATCH(B364,'Agent Roster'!$A:$A,0)),"UNASSIGNED")</f>
        <v>Orchestration &amp; Diagnostics</v>
      </c>
      <c r="E364" s="19" t="s">
        <v>2531</v>
      </c>
      <c r="F364" s="19" t="s">
        <v>2537</v>
      </c>
      <c r="G364" s="19" t="s">
        <v>1315</v>
      </c>
      <c r="H364" s="19" t="s">
        <v>2533</v>
      </c>
      <c r="I364" s="19" t="s">
        <v>2538</v>
      </c>
      <c r="J364" s="19" t="s">
        <v>2535</v>
      </c>
      <c r="K364" s="19" t="s">
        <v>1325</v>
      </c>
      <c r="L364" s="19" t="s">
        <v>1326</v>
      </c>
      <c r="M364" s="19" t="s">
        <v>378</v>
      </c>
      <c r="N364" s="19"/>
      <c r="O364" s="19" t="s">
        <v>1321</v>
      </c>
    </row>
    <row r="365" customFormat="false" ht="22.35" hidden="false" customHeight="false" outlineLevel="0" collapsed="false">
      <c r="A365" s="19" t="s">
        <v>2539</v>
      </c>
      <c r="B365" s="19" t="s">
        <v>378</v>
      </c>
      <c r="C365" s="19" t="str">
        <f aca="false">IFERROR(INDEX('Agent Roster'!$B:$B,MATCH(B365,'Agent Roster'!$A:$A,0)),"UNASSIGNED")</f>
        <v>Investigation &amp; Research Agent</v>
      </c>
      <c r="D365" s="19" t="str">
        <f aca="false">IFERROR(INDEX('Agent Roster'!$D:$D,MATCH(B365,'Agent Roster'!$A:$A,0)),"UNASSIGNED")</f>
        <v>Orchestration &amp; Diagnostics</v>
      </c>
      <c r="E365" s="19" t="s">
        <v>2531</v>
      </c>
      <c r="F365" s="19" t="s">
        <v>2540</v>
      </c>
      <c r="G365" s="19" t="s">
        <v>1315</v>
      </c>
      <c r="H365" s="19" t="s">
        <v>2533</v>
      </c>
      <c r="I365" s="19" t="s">
        <v>2541</v>
      </c>
      <c r="J365" s="19" t="s">
        <v>2535</v>
      </c>
      <c r="K365" s="19" t="s">
        <v>1330</v>
      </c>
      <c r="L365" s="19" t="s">
        <v>1331</v>
      </c>
      <c r="M365" s="19" t="s">
        <v>378</v>
      </c>
      <c r="N365" s="19"/>
      <c r="O365" s="19" t="s">
        <v>1321</v>
      </c>
    </row>
    <row r="366" customFormat="false" ht="22.35" hidden="false" customHeight="false" outlineLevel="0" collapsed="false">
      <c r="A366" s="19" t="s">
        <v>2542</v>
      </c>
      <c r="B366" s="19" t="s">
        <v>378</v>
      </c>
      <c r="C366" s="19" t="str">
        <f aca="false">IFERROR(INDEX('Agent Roster'!$B:$B,MATCH(B366,'Agent Roster'!$A:$A,0)),"UNASSIGNED")</f>
        <v>Investigation &amp; Research Agent</v>
      </c>
      <c r="D366" s="19" t="str">
        <f aca="false">IFERROR(INDEX('Agent Roster'!$D:$D,MATCH(B366,'Agent Roster'!$A:$A,0)),"UNASSIGNED")</f>
        <v>Orchestration &amp; Diagnostics</v>
      </c>
      <c r="E366" s="19" t="s">
        <v>2531</v>
      </c>
      <c r="F366" s="19" t="s">
        <v>2543</v>
      </c>
      <c r="G366" s="19" t="s">
        <v>1315</v>
      </c>
      <c r="H366" s="19" t="s">
        <v>2533</v>
      </c>
      <c r="I366" s="19" t="s">
        <v>2544</v>
      </c>
      <c r="J366" s="19" t="s">
        <v>2535</v>
      </c>
      <c r="K366" s="19" t="s">
        <v>1335</v>
      </c>
      <c r="L366" s="19" t="s">
        <v>1336</v>
      </c>
      <c r="M366" s="19" t="s">
        <v>378</v>
      </c>
      <c r="N366" s="19"/>
      <c r="O366" s="19" t="s">
        <v>1321</v>
      </c>
    </row>
    <row r="367" customFormat="false" ht="22.35" hidden="false" customHeight="false" outlineLevel="0" collapsed="false">
      <c r="A367" s="19" t="s">
        <v>2545</v>
      </c>
      <c r="B367" s="19" t="s">
        <v>378</v>
      </c>
      <c r="C367" s="19" t="str">
        <f aca="false">IFERROR(INDEX('Agent Roster'!$B:$B,MATCH(B367,'Agent Roster'!$A:$A,0)),"UNASSIGNED")</f>
        <v>Investigation &amp; Research Agent</v>
      </c>
      <c r="D367" s="19" t="str">
        <f aca="false">IFERROR(INDEX('Agent Roster'!$D:$D,MATCH(B367,'Agent Roster'!$A:$A,0)),"UNASSIGNED")</f>
        <v>Orchestration &amp; Diagnostics</v>
      </c>
      <c r="E367" s="19" t="s">
        <v>2531</v>
      </c>
      <c r="F367" s="19" t="s">
        <v>2546</v>
      </c>
      <c r="G367" s="19" t="s">
        <v>1315</v>
      </c>
      <c r="H367" s="19" t="s">
        <v>2533</v>
      </c>
      <c r="I367" s="19" t="s">
        <v>2547</v>
      </c>
      <c r="J367" s="19" t="s">
        <v>2535</v>
      </c>
      <c r="K367" s="19" t="s">
        <v>1340</v>
      </c>
      <c r="L367" s="19" t="s">
        <v>1341</v>
      </c>
      <c r="M367" s="19" t="s">
        <v>378</v>
      </c>
      <c r="N367" s="19"/>
      <c r="O367" s="19" t="s">
        <v>1321</v>
      </c>
    </row>
    <row r="368" customFormat="false" ht="22.35" hidden="false" customHeight="false" outlineLevel="0" collapsed="false">
      <c r="A368" s="19" t="s">
        <v>2548</v>
      </c>
      <c r="B368" s="19" t="s">
        <v>378</v>
      </c>
      <c r="C368" s="19" t="str">
        <f aca="false">IFERROR(INDEX('Agent Roster'!$B:$B,MATCH(B368,'Agent Roster'!$A:$A,0)),"UNASSIGNED")</f>
        <v>Investigation &amp; Research Agent</v>
      </c>
      <c r="D368" s="19" t="str">
        <f aca="false">IFERROR(INDEX('Agent Roster'!$D:$D,MATCH(B368,'Agent Roster'!$A:$A,0)),"UNASSIGNED")</f>
        <v>Orchestration &amp; Diagnostics</v>
      </c>
      <c r="E368" s="19" t="s">
        <v>2531</v>
      </c>
      <c r="F368" s="19" t="s">
        <v>2549</v>
      </c>
      <c r="G368" s="19" t="s">
        <v>1315</v>
      </c>
      <c r="H368" s="19" t="s">
        <v>2533</v>
      </c>
      <c r="I368" s="19" t="s">
        <v>2550</v>
      </c>
      <c r="J368" s="19" t="s">
        <v>2535</v>
      </c>
      <c r="K368" s="19" t="s">
        <v>1345</v>
      </c>
      <c r="L368" s="19" t="s">
        <v>1346</v>
      </c>
      <c r="M368" s="19" t="s">
        <v>378</v>
      </c>
      <c r="N368" s="19"/>
      <c r="O368" s="19" t="s">
        <v>1321</v>
      </c>
    </row>
    <row r="369" customFormat="false" ht="22.35" hidden="false" customHeight="false" outlineLevel="0" collapsed="false">
      <c r="A369" s="19" t="s">
        <v>2551</v>
      </c>
      <c r="B369" s="19" t="s">
        <v>378</v>
      </c>
      <c r="C369" s="19" t="str">
        <f aca="false">IFERROR(INDEX('Agent Roster'!$B:$B,MATCH(B369,'Agent Roster'!$A:$A,0)),"UNASSIGNED")</f>
        <v>Investigation &amp; Research Agent</v>
      </c>
      <c r="D369" s="19" t="str">
        <f aca="false">IFERROR(INDEX('Agent Roster'!$D:$D,MATCH(B369,'Agent Roster'!$A:$A,0)),"UNASSIGNED")</f>
        <v>Orchestration &amp; Diagnostics</v>
      </c>
      <c r="E369" s="19" t="s">
        <v>2531</v>
      </c>
      <c r="F369" s="19" t="s">
        <v>2552</v>
      </c>
      <c r="G369" s="19" t="s">
        <v>1315</v>
      </c>
      <c r="H369" s="19" t="s">
        <v>2533</v>
      </c>
      <c r="I369" s="19" t="s">
        <v>2553</v>
      </c>
      <c r="J369" s="19" t="s">
        <v>2535</v>
      </c>
      <c r="K369" s="19" t="s">
        <v>1350</v>
      </c>
      <c r="L369" s="19" t="s">
        <v>1351</v>
      </c>
      <c r="M369" s="19" t="s">
        <v>378</v>
      </c>
      <c r="N369" s="19"/>
      <c r="O369" s="19" t="s">
        <v>1321</v>
      </c>
    </row>
    <row r="370" customFormat="false" ht="22.35" hidden="false" customHeight="false" outlineLevel="0" collapsed="false">
      <c r="A370" s="19" t="s">
        <v>2554</v>
      </c>
      <c r="B370" s="19" t="s">
        <v>378</v>
      </c>
      <c r="C370" s="19" t="str">
        <f aca="false">IFERROR(INDEX('Agent Roster'!$B:$B,MATCH(B370,'Agent Roster'!$A:$A,0)),"UNASSIGNED")</f>
        <v>Investigation &amp; Research Agent</v>
      </c>
      <c r="D370" s="19" t="str">
        <f aca="false">IFERROR(INDEX('Agent Roster'!$D:$D,MATCH(B370,'Agent Roster'!$A:$A,0)),"UNASSIGNED")</f>
        <v>Orchestration &amp; Diagnostics</v>
      </c>
      <c r="E370" s="19" t="s">
        <v>2531</v>
      </c>
      <c r="F370" s="19" t="s">
        <v>2555</v>
      </c>
      <c r="G370" s="19" t="s">
        <v>1315</v>
      </c>
      <c r="H370" s="19" t="s">
        <v>2533</v>
      </c>
      <c r="I370" s="19" t="s">
        <v>2556</v>
      </c>
      <c r="J370" s="19" t="s">
        <v>2535</v>
      </c>
      <c r="K370" s="19" t="s">
        <v>1355</v>
      </c>
      <c r="L370" s="19" t="s">
        <v>1376</v>
      </c>
      <c r="M370" s="19" t="s">
        <v>1377</v>
      </c>
      <c r="N370" s="19"/>
      <c r="O370" s="19" t="s">
        <v>1321</v>
      </c>
    </row>
    <row r="371" customFormat="false" ht="32.8" hidden="false" customHeight="false" outlineLevel="0" collapsed="false">
      <c r="A371" s="19" t="s">
        <v>2557</v>
      </c>
      <c r="B371" s="19" t="s">
        <v>1267</v>
      </c>
      <c r="C371" s="19" t="str">
        <f aca="false">IFERROR(INDEX('Agent Roster'!$B:$B,MATCH(B371,'Agent Roster'!$A:$A,0)),"UNASSIGNED")</f>
        <v>Writing Agent</v>
      </c>
      <c r="D371" s="19" t="str">
        <f aca="false">IFERROR(INDEX('Agent Roster'!$D:$D,MATCH(B371,'Agent Roster'!$A:$A,0)),"UNASSIGNED")</f>
        <v>9 · Content Hub</v>
      </c>
      <c r="E371" s="19" t="s">
        <v>2558</v>
      </c>
      <c r="F371" s="19" t="s">
        <v>2559</v>
      </c>
      <c r="G371" s="19" t="s">
        <v>1315</v>
      </c>
      <c r="H371" s="19" t="s">
        <v>2560</v>
      </c>
      <c r="I371" s="19" t="s">
        <v>2561</v>
      </c>
      <c r="J371" s="19" t="s">
        <v>2334</v>
      </c>
      <c r="K371" s="19" t="s">
        <v>1319</v>
      </c>
      <c r="L371" s="19" t="s">
        <v>1320</v>
      </c>
      <c r="M371" s="19" t="s">
        <v>1267</v>
      </c>
      <c r="N371" s="19"/>
      <c r="O371" s="19" t="s">
        <v>1321</v>
      </c>
    </row>
    <row r="372" customFormat="false" ht="32.8" hidden="false" customHeight="false" outlineLevel="0" collapsed="false">
      <c r="A372" s="19" t="s">
        <v>2562</v>
      </c>
      <c r="B372" s="19" t="s">
        <v>1267</v>
      </c>
      <c r="C372" s="19" t="str">
        <f aca="false">IFERROR(INDEX('Agent Roster'!$B:$B,MATCH(B372,'Agent Roster'!$A:$A,0)),"UNASSIGNED")</f>
        <v>Writing Agent</v>
      </c>
      <c r="D372" s="19" t="str">
        <f aca="false">IFERROR(INDEX('Agent Roster'!$D:$D,MATCH(B372,'Agent Roster'!$A:$A,0)),"UNASSIGNED")</f>
        <v>9 · Content Hub</v>
      </c>
      <c r="E372" s="19" t="s">
        <v>2558</v>
      </c>
      <c r="F372" s="19" t="s">
        <v>2563</v>
      </c>
      <c r="G372" s="19" t="s">
        <v>1315</v>
      </c>
      <c r="H372" s="19" t="s">
        <v>2560</v>
      </c>
      <c r="I372" s="19" t="s">
        <v>2564</v>
      </c>
      <c r="J372" s="19" t="s">
        <v>2334</v>
      </c>
      <c r="K372" s="19" t="s">
        <v>1325</v>
      </c>
      <c r="L372" s="19" t="s">
        <v>1326</v>
      </c>
      <c r="M372" s="19" t="s">
        <v>1267</v>
      </c>
      <c r="N372" s="19"/>
      <c r="O372" s="19" t="s">
        <v>1321</v>
      </c>
    </row>
    <row r="373" customFormat="false" ht="32.8" hidden="false" customHeight="false" outlineLevel="0" collapsed="false">
      <c r="A373" s="19" t="s">
        <v>2565</v>
      </c>
      <c r="B373" s="19" t="s">
        <v>1267</v>
      </c>
      <c r="C373" s="19" t="str">
        <f aca="false">IFERROR(INDEX('Agent Roster'!$B:$B,MATCH(B373,'Agent Roster'!$A:$A,0)),"UNASSIGNED")</f>
        <v>Writing Agent</v>
      </c>
      <c r="D373" s="19" t="str">
        <f aca="false">IFERROR(INDEX('Agent Roster'!$D:$D,MATCH(B373,'Agent Roster'!$A:$A,0)),"UNASSIGNED")</f>
        <v>9 · Content Hub</v>
      </c>
      <c r="E373" s="19" t="s">
        <v>2558</v>
      </c>
      <c r="F373" s="19" t="s">
        <v>2566</v>
      </c>
      <c r="G373" s="19" t="s">
        <v>1315</v>
      </c>
      <c r="H373" s="19" t="s">
        <v>2560</v>
      </c>
      <c r="I373" s="19" t="s">
        <v>2567</v>
      </c>
      <c r="J373" s="19" t="s">
        <v>2334</v>
      </c>
      <c r="K373" s="19" t="s">
        <v>1330</v>
      </c>
      <c r="L373" s="19" t="s">
        <v>1331</v>
      </c>
      <c r="M373" s="19" t="s">
        <v>1267</v>
      </c>
      <c r="N373" s="19"/>
      <c r="O373" s="19" t="s">
        <v>1321</v>
      </c>
    </row>
    <row r="374" customFormat="false" ht="32.8" hidden="false" customHeight="false" outlineLevel="0" collapsed="false">
      <c r="A374" s="19" t="s">
        <v>2568</v>
      </c>
      <c r="B374" s="19" t="s">
        <v>1267</v>
      </c>
      <c r="C374" s="19" t="str">
        <f aca="false">IFERROR(INDEX('Agent Roster'!$B:$B,MATCH(B374,'Agent Roster'!$A:$A,0)),"UNASSIGNED")</f>
        <v>Writing Agent</v>
      </c>
      <c r="D374" s="19" t="str">
        <f aca="false">IFERROR(INDEX('Agent Roster'!$D:$D,MATCH(B374,'Agent Roster'!$A:$A,0)),"UNASSIGNED")</f>
        <v>9 · Content Hub</v>
      </c>
      <c r="E374" s="19" t="s">
        <v>2558</v>
      </c>
      <c r="F374" s="19" t="s">
        <v>2569</v>
      </c>
      <c r="G374" s="19" t="s">
        <v>1315</v>
      </c>
      <c r="H374" s="19" t="s">
        <v>2560</v>
      </c>
      <c r="I374" s="19" t="s">
        <v>2570</v>
      </c>
      <c r="J374" s="19" t="s">
        <v>2334</v>
      </c>
      <c r="K374" s="19" t="s">
        <v>1335</v>
      </c>
      <c r="L374" s="19" t="s">
        <v>1336</v>
      </c>
      <c r="M374" s="19" t="s">
        <v>1267</v>
      </c>
      <c r="N374" s="19"/>
      <c r="O374" s="19" t="s">
        <v>1321</v>
      </c>
    </row>
    <row r="375" customFormat="false" ht="32.8" hidden="false" customHeight="false" outlineLevel="0" collapsed="false">
      <c r="A375" s="19" t="s">
        <v>2571</v>
      </c>
      <c r="B375" s="19" t="s">
        <v>1267</v>
      </c>
      <c r="C375" s="19" t="str">
        <f aca="false">IFERROR(INDEX('Agent Roster'!$B:$B,MATCH(B375,'Agent Roster'!$A:$A,0)),"UNASSIGNED")</f>
        <v>Writing Agent</v>
      </c>
      <c r="D375" s="19" t="str">
        <f aca="false">IFERROR(INDEX('Agent Roster'!$D:$D,MATCH(B375,'Agent Roster'!$A:$A,0)),"UNASSIGNED")</f>
        <v>9 · Content Hub</v>
      </c>
      <c r="E375" s="19" t="s">
        <v>2558</v>
      </c>
      <c r="F375" s="19" t="s">
        <v>2572</v>
      </c>
      <c r="G375" s="19" t="s">
        <v>1315</v>
      </c>
      <c r="H375" s="19" t="s">
        <v>2560</v>
      </c>
      <c r="I375" s="19" t="s">
        <v>2573</v>
      </c>
      <c r="J375" s="19" t="s">
        <v>2334</v>
      </c>
      <c r="K375" s="19" t="s">
        <v>1340</v>
      </c>
      <c r="L375" s="19" t="s">
        <v>1341</v>
      </c>
      <c r="M375" s="19" t="s">
        <v>1267</v>
      </c>
      <c r="N375" s="19"/>
      <c r="O375" s="19" t="s">
        <v>1321</v>
      </c>
    </row>
    <row r="376" customFormat="false" ht="32.8" hidden="false" customHeight="false" outlineLevel="0" collapsed="false">
      <c r="A376" s="19" t="s">
        <v>2574</v>
      </c>
      <c r="B376" s="19" t="s">
        <v>1267</v>
      </c>
      <c r="C376" s="19" t="str">
        <f aca="false">IFERROR(INDEX('Agent Roster'!$B:$B,MATCH(B376,'Agent Roster'!$A:$A,0)),"UNASSIGNED")</f>
        <v>Writing Agent</v>
      </c>
      <c r="D376" s="19" t="str">
        <f aca="false">IFERROR(INDEX('Agent Roster'!$D:$D,MATCH(B376,'Agent Roster'!$A:$A,0)),"UNASSIGNED")</f>
        <v>9 · Content Hub</v>
      </c>
      <c r="E376" s="19" t="s">
        <v>2558</v>
      </c>
      <c r="F376" s="19" t="s">
        <v>2575</v>
      </c>
      <c r="G376" s="19" t="s">
        <v>1315</v>
      </c>
      <c r="H376" s="19" t="s">
        <v>2560</v>
      </c>
      <c r="I376" s="19" t="s">
        <v>2576</v>
      </c>
      <c r="J376" s="19" t="s">
        <v>2334</v>
      </c>
      <c r="K376" s="19" t="s">
        <v>1345</v>
      </c>
      <c r="L376" s="19" t="s">
        <v>1346</v>
      </c>
      <c r="M376" s="19" t="s">
        <v>1267</v>
      </c>
      <c r="N376" s="19"/>
      <c r="O376" s="19" t="s">
        <v>1321</v>
      </c>
    </row>
    <row r="377" customFormat="false" ht="32.8" hidden="false" customHeight="false" outlineLevel="0" collapsed="false">
      <c r="A377" s="19" t="s">
        <v>2577</v>
      </c>
      <c r="B377" s="19" t="s">
        <v>1267</v>
      </c>
      <c r="C377" s="19" t="str">
        <f aca="false">IFERROR(INDEX('Agent Roster'!$B:$B,MATCH(B377,'Agent Roster'!$A:$A,0)),"UNASSIGNED")</f>
        <v>Writing Agent</v>
      </c>
      <c r="D377" s="19" t="str">
        <f aca="false">IFERROR(INDEX('Agent Roster'!$D:$D,MATCH(B377,'Agent Roster'!$A:$A,0)),"UNASSIGNED")</f>
        <v>9 · Content Hub</v>
      </c>
      <c r="E377" s="19" t="s">
        <v>2558</v>
      </c>
      <c r="F377" s="19" t="s">
        <v>2578</v>
      </c>
      <c r="G377" s="19" t="s">
        <v>1315</v>
      </c>
      <c r="H377" s="19" t="s">
        <v>2560</v>
      </c>
      <c r="I377" s="19" t="s">
        <v>2579</v>
      </c>
      <c r="J377" s="19" t="s">
        <v>2334</v>
      </c>
      <c r="K377" s="19" t="s">
        <v>1350</v>
      </c>
      <c r="L377" s="19" t="s">
        <v>1351</v>
      </c>
      <c r="M377" s="19" t="s">
        <v>1267</v>
      </c>
      <c r="N377" s="19"/>
      <c r="O377" s="19" t="s">
        <v>1321</v>
      </c>
    </row>
    <row r="378" customFormat="false" ht="32.8" hidden="false" customHeight="false" outlineLevel="0" collapsed="false">
      <c r="A378" s="19" t="s">
        <v>2580</v>
      </c>
      <c r="B378" s="19" t="s">
        <v>1267</v>
      </c>
      <c r="C378" s="19" t="str">
        <f aca="false">IFERROR(INDEX('Agent Roster'!$B:$B,MATCH(B378,'Agent Roster'!$A:$A,0)),"UNASSIGNED")</f>
        <v>Writing Agent</v>
      </c>
      <c r="D378" s="19" t="str">
        <f aca="false">IFERROR(INDEX('Agent Roster'!$D:$D,MATCH(B378,'Agent Roster'!$A:$A,0)),"UNASSIGNED")</f>
        <v>9 · Content Hub</v>
      </c>
      <c r="E378" s="19" t="s">
        <v>2558</v>
      </c>
      <c r="F378" s="19" t="s">
        <v>2581</v>
      </c>
      <c r="G378" s="19" t="s">
        <v>1315</v>
      </c>
      <c r="H378" s="19" t="s">
        <v>2560</v>
      </c>
      <c r="I378" s="19" t="s">
        <v>2582</v>
      </c>
      <c r="J378" s="19" t="s">
        <v>2334</v>
      </c>
      <c r="K378" s="19" t="s">
        <v>1355</v>
      </c>
      <c r="L378" s="19" t="s">
        <v>1376</v>
      </c>
      <c r="M378" s="19" t="s">
        <v>1377</v>
      </c>
      <c r="N378" s="19"/>
      <c r="O378" s="19" t="s">
        <v>1321</v>
      </c>
    </row>
    <row r="379" customFormat="false" ht="22.35" hidden="false" customHeight="false" outlineLevel="0" collapsed="false">
      <c r="A379" s="19" t="s">
        <v>2583</v>
      </c>
      <c r="B379" s="19" t="s">
        <v>440</v>
      </c>
      <c r="C379" s="19" t="str">
        <f aca="false">IFERROR(INDEX('Agent Roster'!$B:$B,MATCH(B379,'Agent Roster'!$A:$A,0)),"UNASSIGNED")</f>
        <v>Competitive Positioning &amp; Market Analyst</v>
      </c>
      <c r="D379" s="19" t="str">
        <f aca="false">IFERROR(INDEX('Agent Roster'!$D:$D,MATCH(B379,'Agent Roster'!$A:$A,0)),"UNASSIGNED")</f>
        <v>1 · Strategy Hub</v>
      </c>
      <c r="E379" s="19" t="s">
        <v>2584</v>
      </c>
      <c r="F379" s="19" t="s">
        <v>2585</v>
      </c>
      <c r="G379" s="19" t="s">
        <v>1315</v>
      </c>
      <c r="H379" s="19" t="s">
        <v>2586</v>
      </c>
      <c r="I379" s="19" t="s">
        <v>2587</v>
      </c>
      <c r="J379" s="19" t="s">
        <v>2588</v>
      </c>
      <c r="K379" s="19" t="s">
        <v>1319</v>
      </c>
      <c r="L379" s="19" t="s">
        <v>1320</v>
      </c>
      <c r="M379" s="19" t="s">
        <v>440</v>
      </c>
      <c r="N379" s="19"/>
      <c r="O379" s="19" t="s">
        <v>1321</v>
      </c>
    </row>
    <row r="380" customFormat="false" ht="22.35" hidden="false" customHeight="false" outlineLevel="0" collapsed="false">
      <c r="A380" s="19" t="s">
        <v>2589</v>
      </c>
      <c r="B380" s="19" t="s">
        <v>440</v>
      </c>
      <c r="C380" s="19" t="str">
        <f aca="false">IFERROR(INDEX('Agent Roster'!$B:$B,MATCH(B380,'Agent Roster'!$A:$A,0)),"UNASSIGNED")</f>
        <v>Competitive Positioning &amp; Market Analyst</v>
      </c>
      <c r="D380" s="19" t="str">
        <f aca="false">IFERROR(INDEX('Agent Roster'!$D:$D,MATCH(B380,'Agent Roster'!$A:$A,0)),"UNASSIGNED")</f>
        <v>1 · Strategy Hub</v>
      </c>
      <c r="E380" s="19" t="s">
        <v>2584</v>
      </c>
      <c r="F380" s="19" t="s">
        <v>2590</v>
      </c>
      <c r="G380" s="19" t="s">
        <v>1315</v>
      </c>
      <c r="H380" s="19" t="s">
        <v>2586</v>
      </c>
      <c r="I380" s="19" t="s">
        <v>2591</v>
      </c>
      <c r="J380" s="19" t="s">
        <v>2588</v>
      </c>
      <c r="K380" s="19" t="s">
        <v>1325</v>
      </c>
      <c r="L380" s="19" t="s">
        <v>1326</v>
      </c>
      <c r="M380" s="19" t="s">
        <v>440</v>
      </c>
      <c r="N380" s="19"/>
      <c r="O380" s="19" t="s">
        <v>1321</v>
      </c>
    </row>
    <row r="381" customFormat="false" ht="22.35" hidden="false" customHeight="false" outlineLevel="0" collapsed="false">
      <c r="A381" s="19" t="s">
        <v>2592</v>
      </c>
      <c r="B381" s="19" t="s">
        <v>440</v>
      </c>
      <c r="C381" s="19" t="str">
        <f aca="false">IFERROR(INDEX('Agent Roster'!$B:$B,MATCH(B381,'Agent Roster'!$A:$A,0)),"UNASSIGNED")</f>
        <v>Competitive Positioning &amp; Market Analyst</v>
      </c>
      <c r="D381" s="19" t="str">
        <f aca="false">IFERROR(INDEX('Agent Roster'!$D:$D,MATCH(B381,'Agent Roster'!$A:$A,0)),"UNASSIGNED")</f>
        <v>1 · Strategy Hub</v>
      </c>
      <c r="E381" s="19" t="s">
        <v>2584</v>
      </c>
      <c r="F381" s="19" t="s">
        <v>2593</v>
      </c>
      <c r="G381" s="19" t="s">
        <v>1315</v>
      </c>
      <c r="H381" s="19" t="s">
        <v>2586</v>
      </c>
      <c r="I381" s="19" t="s">
        <v>2594</v>
      </c>
      <c r="J381" s="19" t="s">
        <v>2588</v>
      </c>
      <c r="K381" s="19" t="s">
        <v>1330</v>
      </c>
      <c r="L381" s="19" t="s">
        <v>1331</v>
      </c>
      <c r="M381" s="19" t="s">
        <v>440</v>
      </c>
      <c r="N381" s="19"/>
      <c r="O381" s="19" t="s">
        <v>1321</v>
      </c>
    </row>
    <row r="382" customFormat="false" ht="22.35" hidden="false" customHeight="false" outlineLevel="0" collapsed="false">
      <c r="A382" s="19" t="s">
        <v>2595</v>
      </c>
      <c r="B382" s="19" t="s">
        <v>440</v>
      </c>
      <c r="C382" s="19" t="str">
        <f aca="false">IFERROR(INDEX('Agent Roster'!$B:$B,MATCH(B382,'Agent Roster'!$A:$A,0)),"UNASSIGNED")</f>
        <v>Competitive Positioning &amp; Market Analyst</v>
      </c>
      <c r="D382" s="19" t="str">
        <f aca="false">IFERROR(INDEX('Agent Roster'!$D:$D,MATCH(B382,'Agent Roster'!$A:$A,0)),"UNASSIGNED")</f>
        <v>1 · Strategy Hub</v>
      </c>
      <c r="E382" s="19" t="s">
        <v>2584</v>
      </c>
      <c r="F382" s="19" t="s">
        <v>2596</v>
      </c>
      <c r="G382" s="19" t="s">
        <v>1315</v>
      </c>
      <c r="H382" s="19" t="s">
        <v>2586</v>
      </c>
      <c r="I382" s="19" t="s">
        <v>2597</v>
      </c>
      <c r="J382" s="19" t="s">
        <v>2588</v>
      </c>
      <c r="K382" s="19" t="s">
        <v>1335</v>
      </c>
      <c r="L382" s="19" t="s">
        <v>1336</v>
      </c>
      <c r="M382" s="19" t="s">
        <v>440</v>
      </c>
      <c r="N382" s="19"/>
      <c r="O382" s="19" t="s">
        <v>1321</v>
      </c>
    </row>
    <row r="383" customFormat="false" ht="22.35" hidden="false" customHeight="false" outlineLevel="0" collapsed="false">
      <c r="A383" s="19" t="s">
        <v>2598</v>
      </c>
      <c r="B383" s="19" t="s">
        <v>440</v>
      </c>
      <c r="C383" s="19" t="str">
        <f aca="false">IFERROR(INDEX('Agent Roster'!$B:$B,MATCH(B383,'Agent Roster'!$A:$A,0)),"UNASSIGNED")</f>
        <v>Competitive Positioning &amp; Market Analyst</v>
      </c>
      <c r="D383" s="19" t="str">
        <f aca="false">IFERROR(INDEX('Agent Roster'!$D:$D,MATCH(B383,'Agent Roster'!$A:$A,0)),"UNASSIGNED")</f>
        <v>1 · Strategy Hub</v>
      </c>
      <c r="E383" s="19" t="s">
        <v>2584</v>
      </c>
      <c r="F383" s="19" t="s">
        <v>2599</v>
      </c>
      <c r="G383" s="19" t="s">
        <v>1315</v>
      </c>
      <c r="H383" s="19" t="s">
        <v>2586</v>
      </c>
      <c r="I383" s="19" t="s">
        <v>2600</v>
      </c>
      <c r="J383" s="19" t="s">
        <v>2588</v>
      </c>
      <c r="K383" s="19" t="s">
        <v>1340</v>
      </c>
      <c r="L383" s="19" t="s">
        <v>1341</v>
      </c>
      <c r="M383" s="19" t="s">
        <v>440</v>
      </c>
      <c r="N383" s="19"/>
      <c r="O383" s="19" t="s">
        <v>1321</v>
      </c>
    </row>
    <row r="384" customFormat="false" ht="22.35" hidden="false" customHeight="false" outlineLevel="0" collapsed="false">
      <c r="A384" s="19" t="s">
        <v>2601</v>
      </c>
      <c r="B384" s="19" t="s">
        <v>440</v>
      </c>
      <c r="C384" s="19" t="str">
        <f aca="false">IFERROR(INDEX('Agent Roster'!$B:$B,MATCH(B384,'Agent Roster'!$A:$A,0)),"UNASSIGNED")</f>
        <v>Competitive Positioning &amp; Market Analyst</v>
      </c>
      <c r="D384" s="19" t="str">
        <f aca="false">IFERROR(INDEX('Agent Roster'!$D:$D,MATCH(B384,'Agent Roster'!$A:$A,0)),"UNASSIGNED")</f>
        <v>1 · Strategy Hub</v>
      </c>
      <c r="E384" s="19" t="s">
        <v>2584</v>
      </c>
      <c r="F384" s="19" t="s">
        <v>2602</v>
      </c>
      <c r="G384" s="19" t="s">
        <v>1315</v>
      </c>
      <c r="H384" s="19" t="s">
        <v>2586</v>
      </c>
      <c r="I384" s="19" t="s">
        <v>2603</v>
      </c>
      <c r="J384" s="19" t="s">
        <v>2588</v>
      </c>
      <c r="K384" s="19" t="s">
        <v>1345</v>
      </c>
      <c r="L384" s="19" t="s">
        <v>1346</v>
      </c>
      <c r="M384" s="19" t="s">
        <v>440</v>
      </c>
      <c r="N384" s="19"/>
      <c r="O384" s="19" t="s">
        <v>1321</v>
      </c>
    </row>
    <row r="385" customFormat="false" ht="22.35" hidden="false" customHeight="false" outlineLevel="0" collapsed="false">
      <c r="A385" s="19" t="s">
        <v>2604</v>
      </c>
      <c r="B385" s="19" t="s">
        <v>440</v>
      </c>
      <c r="C385" s="19" t="str">
        <f aca="false">IFERROR(INDEX('Agent Roster'!$B:$B,MATCH(B385,'Agent Roster'!$A:$A,0)),"UNASSIGNED")</f>
        <v>Competitive Positioning &amp; Market Analyst</v>
      </c>
      <c r="D385" s="19" t="str">
        <f aca="false">IFERROR(INDEX('Agent Roster'!$D:$D,MATCH(B385,'Agent Roster'!$A:$A,0)),"UNASSIGNED")</f>
        <v>1 · Strategy Hub</v>
      </c>
      <c r="E385" s="19" t="s">
        <v>2584</v>
      </c>
      <c r="F385" s="19" t="s">
        <v>2605</v>
      </c>
      <c r="G385" s="19" t="s">
        <v>1315</v>
      </c>
      <c r="H385" s="19" t="s">
        <v>2586</v>
      </c>
      <c r="I385" s="19" t="s">
        <v>2606</v>
      </c>
      <c r="J385" s="19" t="s">
        <v>2588</v>
      </c>
      <c r="K385" s="19" t="s">
        <v>1350</v>
      </c>
      <c r="L385" s="19" t="s">
        <v>1351</v>
      </c>
      <c r="M385" s="19" t="s">
        <v>440</v>
      </c>
      <c r="N385" s="19"/>
      <c r="O385" s="19" t="s">
        <v>1321</v>
      </c>
    </row>
    <row r="386" customFormat="false" ht="22.35" hidden="false" customHeight="false" outlineLevel="0" collapsed="false">
      <c r="A386" s="19" t="s">
        <v>2607</v>
      </c>
      <c r="B386" s="19" t="s">
        <v>440</v>
      </c>
      <c r="C386" s="19" t="str">
        <f aca="false">IFERROR(INDEX('Agent Roster'!$B:$B,MATCH(B386,'Agent Roster'!$A:$A,0)),"UNASSIGNED")</f>
        <v>Competitive Positioning &amp; Market Analyst</v>
      </c>
      <c r="D386" s="19" t="str">
        <f aca="false">IFERROR(INDEX('Agent Roster'!$D:$D,MATCH(B386,'Agent Roster'!$A:$A,0)),"UNASSIGNED")</f>
        <v>1 · Strategy Hub</v>
      </c>
      <c r="E386" s="19" t="s">
        <v>2584</v>
      </c>
      <c r="F386" s="19" t="s">
        <v>2608</v>
      </c>
      <c r="G386" s="19" t="s">
        <v>1315</v>
      </c>
      <c r="H386" s="19" t="s">
        <v>2586</v>
      </c>
      <c r="I386" s="19" t="s">
        <v>2609</v>
      </c>
      <c r="J386" s="19" t="s">
        <v>2588</v>
      </c>
      <c r="K386" s="19" t="s">
        <v>1355</v>
      </c>
      <c r="L386" s="19" t="s">
        <v>1356</v>
      </c>
      <c r="M386" s="19" t="s">
        <v>440</v>
      </c>
      <c r="N386" s="19"/>
      <c r="O386" s="19" t="s">
        <v>1321</v>
      </c>
    </row>
    <row r="387" customFormat="false" ht="22.35" hidden="false" customHeight="false" outlineLevel="0" collapsed="false">
      <c r="A387" s="19" t="s">
        <v>2610</v>
      </c>
      <c r="B387" s="19" t="s">
        <v>440</v>
      </c>
      <c r="C387" s="19" t="str">
        <f aca="false">IFERROR(INDEX('Agent Roster'!$B:$B,MATCH(B387,'Agent Roster'!$A:$A,0)),"UNASSIGNED")</f>
        <v>Competitive Positioning &amp; Market Analyst</v>
      </c>
      <c r="D387" s="19" t="str">
        <f aca="false">IFERROR(INDEX('Agent Roster'!$D:$D,MATCH(B387,'Agent Roster'!$A:$A,0)),"UNASSIGNED")</f>
        <v>1 · Strategy Hub</v>
      </c>
      <c r="E387" s="19" t="s">
        <v>2584</v>
      </c>
      <c r="F387" s="19" t="s">
        <v>2611</v>
      </c>
      <c r="G387" s="19" t="s">
        <v>1315</v>
      </c>
      <c r="H387" s="19" t="s">
        <v>2586</v>
      </c>
      <c r="I387" s="19" t="s">
        <v>2612</v>
      </c>
      <c r="J387" s="19" t="s">
        <v>2588</v>
      </c>
      <c r="K387" s="19" t="s">
        <v>1360</v>
      </c>
      <c r="L387" s="19" t="s">
        <v>1376</v>
      </c>
      <c r="M387" s="19" t="s">
        <v>1377</v>
      </c>
      <c r="N387" s="19"/>
      <c r="O387" s="19" t="s">
        <v>1321</v>
      </c>
    </row>
    <row r="388" customFormat="false" ht="22.35" hidden="false" customHeight="false" outlineLevel="0" collapsed="false">
      <c r="A388" s="19" t="s">
        <v>2613</v>
      </c>
      <c r="B388" s="19" t="s">
        <v>272</v>
      </c>
      <c r="C388" s="19" t="str">
        <f aca="false">IFERROR(INDEX('Agent Roster'!$B:$B,MATCH(B388,'Agent Roster'!$A:$A,0)),"UNASSIGNED")</f>
        <v>Process Cartographer (Layer I.C Universal Process Registry)</v>
      </c>
      <c r="D388" s="19" t="str">
        <f aca="false">IFERROR(INDEX('Agent Roster'!$D:$D,MATCH(B388,'Agent Roster'!$A:$A,0)),"UNASSIGNED")</f>
        <v>Orchestration &amp; Diagnostics</v>
      </c>
      <c r="E388" s="19" t="s">
        <v>2614</v>
      </c>
      <c r="F388" s="19" t="s">
        <v>2615</v>
      </c>
      <c r="G388" s="19" t="s">
        <v>1315</v>
      </c>
      <c r="H388" s="19" t="s">
        <v>2616</v>
      </c>
      <c r="I388" s="19" t="s">
        <v>2617</v>
      </c>
      <c r="J388" s="19" t="s">
        <v>2618</v>
      </c>
      <c r="K388" s="19" t="s">
        <v>1319</v>
      </c>
      <c r="L388" s="19" t="s">
        <v>1320</v>
      </c>
      <c r="M388" s="19" t="s">
        <v>272</v>
      </c>
      <c r="N388" s="19"/>
      <c r="O388" s="19" t="s">
        <v>1321</v>
      </c>
    </row>
    <row r="389" customFormat="false" ht="22.35" hidden="false" customHeight="false" outlineLevel="0" collapsed="false">
      <c r="A389" s="19" t="s">
        <v>2619</v>
      </c>
      <c r="B389" s="19" t="s">
        <v>272</v>
      </c>
      <c r="C389" s="19" t="str">
        <f aca="false">IFERROR(INDEX('Agent Roster'!$B:$B,MATCH(B389,'Agent Roster'!$A:$A,0)),"UNASSIGNED")</f>
        <v>Process Cartographer (Layer I.C Universal Process Registry)</v>
      </c>
      <c r="D389" s="19" t="str">
        <f aca="false">IFERROR(INDEX('Agent Roster'!$D:$D,MATCH(B389,'Agent Roster'!$A:$A,0)),"UNASSIGNED")</f>
        <v>Orchestration &amp; Diagnostics</v>
      </c>
      <c r="E389" s="19" t="s">
        <v>2614</v>
      </c>
      <c r="F389" s="19" t="s">
        <v>2620</v>
      </c>
      <c r="G389" s="19" t="s">
        <v>1315</v>
      </c>
      <c r="H389" s="19" t="s">
        <v>2616</v>
      </c>
      <c r="I389" s="19" t="s">
        <v>2621</v>
      </c>
      <c r="J389" s="19" t="s">
        <v>2618</v>
      </c>
      <c r="K389" s="19" t="s">
        <v>1325</v>
      </c>
      <c r="L389" s="19" t="s">
        <v>1326</v>
      </c>
      <c r="M389" s="19" t="s">
        <v>272</v>
      </c>
      <c r="N389" s="19"/>
      <c r="O389" s="19" t="s">
        <v>1321</v>
      </c>
    </row>
    <row r="390" customFormat="false" ht="22.35" hidden="false" customHeight="false" outlineLevel="0" collapsed="false">
      <c r="A390" s="19" t="s">
        <v>2622</v>
      </c>
      <c r="B390" s="19" t="s">
        <v>272</v>
      </c>
      <c r="C390" s="19" t="str">
        <f aca="false">IFERROR(INDEX('Agent Roster'!$B:$B,MATCH(B390,'Agent Roster'!$A:$A,0)),"UNASSIGNED")</f>
        <v>Process Cartographer (Layer I.C Universal Process Registry)</v>
      </c>
      <c r="D390" s="19" t="str">
        <f aca="false">IFERROR(INDEX('Agent Roster'!$D:$D,MATCH(B390,'Agent Roster'!$A:$A,0)),"UNASSIGNED")</f>
        <v>Orchestration &amp; Diagnostics</v>
      </c>
      <c r="E390" s="19" t="s">
        <v>2614</v>
      </c>
      <c r="F390" s="19" t="s">
        <v>2623</v>
      </c>
      <c r="G390" s="19" t="s">
        <v>1315</v>
      </c>
      <c r="H390" s="19" t="s">
        <v>2616</v>
      </c>
      <c r="I390" s="19" t="s">
        <v>2624</v>
      </c>
      <c r="J390" s="19" t="s">
        <v>2618</v>
      </c>
      <c r="K390" s="19" t="s">
        <v>1330</v>
      </c>
      <c r="L390" s="19" t="s">
        <v>1331</v>
      </c>
      <c r="M390" s="19" t="s">
        <v>272</v>
      </c>
      <c r="N390" s="19"/>
      <c r="O390" s="19" t="s">
        <v>1321</v>
      </c>
    </row>
    <row r="391" customFormat="false" ht="22.35" hidden="false" customHeight="false" outlineLevel="0" collapsed="false">
      <c r="A391" s="19" t="s">
        <v>2625</v>
      </c>
      <c r="B391" s="19" t="s">
        <v>272</v>
      </c>
      <c r="C391" s="19" t="str">
        <f aca="false">IFERROR(INDEX('Agent Roster'!$B:$B,MATCH(B391,'Agent Roster'!$A:$A,0)),"UNASSIGNED")</f>
        <v>Process Cartographer (Layer I.C Universal Process Registry)</v>
      </c>
      <c r="D391" s="19" t="str">
        <f aca="false">IFERROR(INDEX('Agent Roster'!$D:$D,MATCH(B391,'Agent Roster'!$A:$A,0)),"UNASSIGNED")</f>
        <v>Orchestration &amp; Diagnostics</v>
      </c>
      <c r="E391" s="19" t="s">
        <v>2614</v>
      </c>
      <c r="F391" s="19" t="s">
        <v>2626</v>
      </c>
      <c r="G391" s="19" t="s">
        <v>1315</v>
      </c>
      <c r="H391" s="19" t="s">
        <v>2616</v>
      </c>
      <c r="I391" s="19" t="s">
        <v>2627</v>
      </c>
      <c r="J391" s="19" t="s">
        <v>2618</v>
      </c>
      <c r="K391" s="19" t="s">
        <v>1335</v>
      </c>
      <c r="L391" s="19" t="s">
        <v>1336</v>
      </c>
      <c r="M391" s="19" t="s">
        <v>272</v>
      </c>
      <c r="N391" s="19"/>
      <c r="O391" s="19" t="s">
        <v>1321</v>
      </c>
    </row>
    <row r="392" customFormat="false" ht="22.35" hidden="false" customHeight="false" outlineLevel="0" collapsed="false">
      <c r="A392" s="19" t="s">
        <v>2628</v>
      </c>
      <c r="B392" s="19" t="s">
        <v>272</v>
      </c>
      <c r="C392" s="19" t="str">
        <f aca="false">IFERROR(INDEX('Agent Roster'!$B:$B,MATCH(B392,'Agent Roster'!$A:$A,0)),"UNASSIGNED")</f>
        <v>Process Cartographer (Layer I.C Universal Process Registry)</v>
      </c>
      <c r="D392" s="19" t="str">
        <f aca="false">IFERROR(INDEX('Agent Roster'!$D:$D,MATCH(B392,'Agent Roster'!$A:$A,0)),"UNASSIGNED")</f>
        <v>Orchestration &amp; Diagnostics</v>
      </c>
      <c r="E392" s="19" t="s">
        <v>2614</v>
      </c>
      <c r="F392" s="19" t="s">
        <v>2629</v>
      </c>
      <c r="G392" s="19" t="s">
        <v>1315</v>
      </c>
      <c r="H392" s="19" t="s">
        <v>2616</v>
      </c>
      <c r="I392" s="19" t="s">
        <v>2630</v>
      </c>
      <c r="J392" s="19" t="s">
        <v>2618</v>
      </c>
      <c r="K392" s="19" t="s">
        <v>1340</v>
      </c>
      <c r="L392" s="19" t="s">
        <v>1341</v>
      </c>
      <c r="M392" s="19" t="s">
        <v>272</v>
      </c>
      <c r="N392" s="19"/>
      <c r="O392" s="19" t="s">
        <v>1321</v>
      </c>
    </row>
    <row r="393" customFormat="false" ht="22.35" hidden="false" customHeight="false" outlineLevel="0" collapsed="false">
      <c r="A393" s="19" t="s">
        <v>2631</v>
      </c>
      <c r="B393" s="19" t="s">
        <v>272</v>
      </c>
      <c r="C393" s="19" t="str">
        <f aca="false">IFERROR(INDEX('Agent Roster'!$B:$B,MATCH(B393,'Agent Roster'!$A:$A,0)),"UNASSIGNED")</f>
        <v>Process Cartographer (Layer I.C Universal Process Registry)</v>
      </c>
      <c r="D393" s="19" t="str">
        <f aca="false">IFERROR(INDEX('Agent Roster'!$D:$D,MATCH(B393,'Agent Roster'!$A:$A,0)),"UNASSIGNED")</f>
        <v>Orchestration &amp; Diagnostics</v>
      </c>
      <c r="E393" s="19" t="s">
        <v>2614</v>
      </c>
      <c r="F393" s="19" t="s">
        <v>2632</v>
      </c>
      <c r="G393" s="19" t="s">
        <v>1315</v>
      </c>
      <c r="H393" s="19" t="s">
        <v>2616</v>
      </c>
      <c r="I393" s="19" t="s">
        <v>2633</v>
      </c>
      <c r="J393" s="19" t="s">
        <v>2618</v>
      </c>
      <c r="K393" s="19" t="s">
        <v>1345</v>
      </c>
      <c r="L393" s="19" t="s">
        <v>1346</v>
      </c>
      <c r="M393" s="19" t="s">
        <v>272</v>
      </c>
      <c r="N393" s="19"/>
      <c r="O393" s="19" t="s">
        <v>1321</v>
      </c>
    </row>
    <row r="394" customFormat="false" ht="22.35" hidden="false" customHeight="false" outlineLevel="0" collapsed="false">
      <c r="A394" s="19" t="s">
        <v>2634</v>
      </c>
      <c r="B394" s="19" t="s">
        <v>272</v>
      </c>
      <c r="C394" s="19" t="str">
        <f aca="false">IFERROR(INDEX('Agent Roster'!$B:$B,MATCH(B394,'Agent Roster'!$A:$A,0)),"UNASSIGNED")</f>
        <v>Process Cartographer (Layer I.C Universal Process Registry)</v>
      </c>
      <c r="D394" s="19" t="str">
        <f aca="false">IFERROR(INDEX('Agent Roster'!$D:$D,MATCH(B394,'Agent Roster'!$A:$A,0)),"UNASSIGNED")</f>
        <v>Orchestration &amp; Diagnostics</v>
      </c>
      <c r="E394" s="19" t="s">
        <v>2614</v>
      </c>
      <c r="F394" s="19" t="s">
        <v>2635</v>
      </c>
      <c r="G394" s="19" t="s">
        <v>1315</v>
      </c>
      <c r="H394" s="19" t="s">
        <v>2616</v>
      </c>
      <c r="I394" s="19" t="s">
        <v>2636</v>
      </c>
      <c r="J394" s="19" t="s">
        <v>2618</v>
      </c>
      <c r="K394" s="19" t="s">
        <v>1350</v>
      </c>
      <c r="L394" s="19" t="s">
        <v>1351</v>
      </c>
      <c r="M394" s="19" t="s">
        <v>272</v>
      </c>
      <c r="N394" s="19"/>
      <c r="O394" s="19" t="s">
        <v>1321</v>
      </c>
    </row>
    <row r="395" customFormat="false" ht="22.35" hidden="false" customHeight="false" outlineLevel="0" collapsed="false">
      <c r="A395" s="19" t="s">
        <v>2637</v>
      </c>
      <c r="B395" s="19" t="s">
        <v>272</v>
      </c>
      <c r="C395" s="19" t="str">
        <f aca="false">IFERROR(INDEX('Agent Roster'!$B:$B,MATCH(B395,'Agent Roster'!$A:$A,0)),"UNASSIGNED")</f>
        <v>Process Cartographer (Layer I.C Universal Process Registry)</v>
      </c>
      <c r="D395" s="19" t="str">
        <f aca="false">IFERROR(INDEX('Agent Roster'!$D:$D,MATCH(B395,'Agent Roster'!$A:$A,0)),"UNASSIGNED")</f>
        <v>Orchestration &amp; Diagnostics</v>
      </c>
      <c r="E395" s="19" t="s">
        <v>2614</v>
      </c>
      <c r="F395" s="19" t="s">
        <v>2638</v>
      </c>
      <c r="G395" s="19" t="s">
        <v>1315</v>
      </c>
      <c r="H395" s="19" t="s">
        <v>2616</v>
      </c>
      <c r="I395" s="19" t="s">
        <v>2639</v>
      </c>
      <c r="J395" s="19" t="s">
        <v>2618</v>
      </c>
      <c r="K395" s="19" t="s">
        <v>1355</v>
      </c>
      <c r="L395" s="19" t="s">
        <v>1376</v>
      </c>
      <c r="M395" s="19" t="s">
        <v>1377</v>
      </c>
      <c r="N395" s="19"/>
      <c r="O395" s="19" t="s">
        <v>1321</v>
      </c>
    </row>
    <row r="396" customFormat="false" ht="22.35" hidden="false" customHeight="false" outlineLevel="0" collapsed="false">
      <c r="A396" s="19" t="s">
        <v>2640</v>
      </c>
      <c r="B396" s="19" t="s">
        <v>272</v>
      </c>
      <c r="C396" s="19" t="str">
        <f aca="false">IFERROR(INDEX('Agent Roster'!$B:$B,MATCH(B396,'Agent Roster'!$A:$A,0)),"UNASSIGNED")</f>
        <v>Process Cartographer (Layer I.C Universal Process Registry)</v>
      </c>
      <c r="D396" s="19" t="str">
        <f aca="false">IFERROR(INDEX('Agent Roster'!$D:$D,MATCH(B396,'Agent Roster'!$A:$A,0)),"UNASSIGNED")</f>
        <v>Orchestration &amp; Diagnostics</v>
      </c>
      <c r="E396" s="19" t="s">
        <v>2641</v>
      </c>
      <c r="F396" s="19" t="s">
        <v>2642</v>
      </c>
      <c r="G396" s="19" t="s">
        <v>1315</v>
      </c>
      <c r="H396" s="19" t="s">
        <v>2643</v>
      </c>
      <c r="I396" s="19" t="s">
        <v>2644</v>
      </c>
      <c r="J396" s="19" t="s">
        <v>2618</v>
      </c>
      <c r="K396" s="19" t="s">
        <v>1319</v>
      </c>
      <c r="L396" s="19" t="s">
        <v>1320</v>
      </c>
      <c r="M396" s="19" t="s">
        <v>272</v>
      </c>
      <c r="N396" s="19"/>
      <c r="O396" s="19" t="s">
        <v>1321</v>
      </c>
    </row>
    <row r="397" customFormat="false" ht="22.35" hidden="false" customHeight="false" outlineLevel="0" collapsed="false">
      <c r="A397" s="19" t="s">
        <v>2645</v>
      </c>
      <c r="B397" s="19" t="s">
        <v>272</v>
      </c>
      <c r="C397" s="19" t="str">
        <f aca="false">IFERROR(INDEX('Agent Roster'!$B:$B,MATCH(B397,'Agent Roster'!$A:$A,0)),"UNASSIGNED")</f>
        <v>Process Cartographer (Layer I.C Universal Process Registry)</v>
      </c>
      <c r="D397" s="19" t="str">
        <f aca="false">IFERROR(INDEX('Agent Roster'!$D:$D,MATCH(B397,'Agent Roster'!$A:$A,0)),"UNASSIGNED")</f>
        <v>Orchestration &amp; Diagnostics</v>
      </c>
      <c r="E397" s="19" t="s">
        <v>2641</v>
      </c>
      <c r="F397" s="19" t="s">
        <v>2646</v>
      </c>
      <c r="G397" s="19" t="s">
        <v>1315</v>
      </c>
      <c r="H397" s="19" t="s">
        <v>2643</v>
      </c>
      <c r="I397" s="19" t="s">
        <v>2647</v>
      </c>
      <c r="J397" s="19" t="s">
        <v>2618</v>
      </c>
      <c r="K397" s="19" t="s">
        <v>1325</v>
      </c>
      <c r="L397" s="19" t="s">
        <v>1326</v>
      </c>
      <c r="M397" s="19" t="s">
        <v>272</v>
      </c>
      <c r="N397" s="19"/>
      <c r="O397" s="19" t="s">
        <v>1321</v>
      </c>
    </row>
    <row r="398" customFormat="false" ht="22.35" hidden="false" customHeight="false" outlineLevel="0" collapsed="false">
      <c r="A398" s="19" t="s">
        <v>2648</v>
      </c>
      <c r="B398" s="19" t="s">
        <v>272</v>
      </c>
      <c r="C398" s="19" t="str">
        <f aca="false">IFERROR(INDEX('Agent Roster'!$B:$B,MATCH(B398,'Agent Roster'!$A:$A,0)),"UNASSIGNED")</f>
        <v>Process Cartographer (Layer I.C Universal Process Registry)</v>
      </c>
      <c r="D398" s="19" t="str">
        <f aca="false">IFERROR(INDEX('Agent Roster'!$D:$D,MATCH(B398,'Agent Roster'!$A:$A,0)),"UNASSIGNED")</f>
        <v>Orchestration &amp; Diagnostics</v>
      </c>
      <c r="E398" s="19" t="s">
        <v>2641</v>
      </c>
      <c r="F398" s="19" t="s">
        <v>2649</v>
      </c>
      <c r="G398" s="19" t="s">
        <v>1315</v>
      </c>
      <c r="H398" s="19" t="s">
        <v>2643</v>
      </c>
      <c r="I398" s="19" t="s">
        <v>2650</v>
      </c>
      <c r="J398" s="19" t="s">
        <v>2618</v>
      </c>
      <c r="K398" s="19" t="s">
        <v>1330</v>
      </c>
      <c r="L398" s="19" t="s">
        <v>1331</v>
      </c>
      <c r="M398" s="19" t="s">
        <v>272</v>
      </c>
      <c r="N398" s="19"/>
      <c r="O398" s="19" t="s">
        <v>1321</v>
      </c>
    </row>
    <row r="399" customFormat="false" ht="22.35" hidden="false" customHeight="false" outlineLevel="0" collapsed="false">
      <c r="A399" s="19" t="s">
        <v>2651</v>
      </c>
      <c r="B399" s="19" t="s">
        <v>272</v>
      </c>
      <c r="C399" s="19" t="str">
        <f aca="false">IFERROR(INDEX('Agent Roster'!$B:$B,MATCH(B399,'Agent Roster'!$A:$A,0)),"UNASSIGNED")</f>
        <v>Process Cartographer (Layer I.C Universal Process Registry)</v>
      </c>
      <c r="D399" s="19" t="str">
        <f aca="false">IFERROR(INDEX('Agent Roster'!$D:$D,MATCH(B399,'Agent Roster'!$A:$A,0)),"UNASSIGNED")</f>
        <v>Orchestration &amp; Diagnostics</v>
      </c>
      <c r="E399" s="19" t="s">
        <v>2641</v>
      </c>
      <c r="F399" s="19" t="s">
        <v>2652</v>
      </c>
      <c r="G399" s="19" t="s">
        <v>1315</v>
      </c>
      <c r="H399" s="19" t="s">
        <v>2643</v>
      </c>
      <c r="I399" s="19" t="s">
        <v>2653</v>
      </c>
      <c r="J399" s="19" t="s">
        <v>2618</v>
      </c>
      <c r="K399" s="19" t="s">
        <v>1335</v>
      </c>
      <c r="L399" s="19" t="s">
        <v>1336</v>
      </c>
      <c r="M399" s="19" t="s">
        <v>272</v>
      </c>
      <c r="N399" s="19"/>
      <c r="O399" s="19" t="s">
        <v>1321</v>
      </c>
    </row>
    <row r="400" customFormat="false" ht="22.35" hidden="false" customHeight="false" outlineLevel="0" collapsed="false">
      <c r="A400" s="19" t="s">
        <v>2654</v>
      </c>
      <c r="B400" s="19" t="s">
        <v>272</v>
      </c>
      <c r="C400" s="19" t="str">
        <f aca="false">IFERROR(INDEX('Agent Roster'!$B:$B,MATCH(B400,'Agent Roster'!$A:$A,0)),"UNASSIGNED")</f>
        <v>Process Cartographer (Layer I.C Universal Process Registry)</v>
      </c>
      <c r="D400" s="19" t="str">
        <f aca="false">IFERROR(INDEX('Agent Roster'!$D:$D,MATCH(B400,'Agent Roster'!$A:$A,0)),"UNASSIGNED")</f>
        <v>Orchestration &amp; Diagnostics</v>
      </c>
      <c r="E400" s="19" t="s">
        <v>2641</v>
      </c>
      <c r="F400" s="19" t="s">
        <v>2655</v>
      </c>
      <c r="G400" s="19" t="s">
        <v>1315</v>
      </c>
      <c r="H400" s="19" t="s">
        <v>2643</v>
      </c>
      <c r="I400" s="19" t="s">
        <v>2656</v>
      </c>
      <c r="J400" s="19" t="s">
        <v>2618</v>
      </c>
      <c r="K400" s="19" t="s">
        <v>1340</v>
      </c>
      <c r="L400" s="19" t="s">
        <v>1341</v>
      </c>
      <c r="M400" s="19" t="s">
        <v>272</v>
      </c>
      <c r="N400" s="19"/>
      <c r="O400" s="19" t="s">
        <v>1321</v>
      </c>
    </row>
    <row r="401" customFormat="false" ht="22.35" hidden="false" customHeight="false" outlineLevel="0" collapsed="false">
      <c r="A401" s="19" t="s">
        <v>2657</v>
      </c>
      <c r="B401" s="19" t="s">
        <v>272</v>
      </c>
      <c r="C401" s="19" t="str">
        <f aca="false">IFERROR(INDEX('Agent Roster'!$B:$B,MATCH(B401,'Agent Roster'!$A:$A,0)),"UNASSIGNED")</f>
        <v>Process Cartographer (Layer I.C Universal Process Registry)</v>
      </c>
      <c r="D401" s="19" t="str">
        <f aca="false">IFERROR(INDEX('Agent Roster'!$D:$D,MATCH(B401,'Agent Roster'!$A:$A,0)),"UNASSIGNED")</f>
        <v>Orchestration &amp; Diagnostics</v>
      </c>
      <c r="E401" s="19" t="s">
        <v>2641</v>
      </c>
      <c r="F401" s="19" t="s">
        <v>2658</v>
      </c>
      <c r="G401" s="19" t="s">
        <v>1315</v>
      </c>
      <c r="H401" s="19" t="s">
        <v>2643</v>
      </c>
      <c r="I401" s="19" t="s">
        <v>2659</v>
      </c>
      <c r="J401" s="19" t="s">
        <v>2618</v>
      </c>
      <c r="K401" s="19" t="s">
        <v>1345</v>
      </c>
      <c r="L401" s="19" t="s">
        <v>1346</v>
      </c>
      <c r="M401" s="19" t="s">
        <v>272</v>
      </c>
      <c r="N401" s="19"/>
      <c r="O401" s="19" t="s">
        <v>1321</v>
      </c>
    </row>
    <row r="402" customFormat="false" ht="22.35" hidden="false" customHeight="false" outlineLevel="0" collapsed="false">
      <c r="A402" s="19" t="s">
        <v>2660</v>
      </c>
      <c r="B402" s="19" t="s">
        <v>272</v>
      </c>
      <c r="C402" s="19" t="str">
        <f aca="false">IFERROR(INDEX('Agent Roster'!$B:$B,MATCH(B402,'Agent Roster'!$A:$A,0)),"UNASSIGNED")</f>
        <v>Process Cartographer (Layer I.C Universal Process Registry)</v>
      </c>
      <c r="D402" s="19" t="str">
        <f aca="false">IFERROR(INDEX('Agent Roster'!$D:$D,MATCH(B402,'Agent Roster'!$A:$A,0)),"UNASSIGNED")</f>
        <v>Orchestration &amp; Diagnostics</v>
      </c>
      <c r="E402" s="19" t="s">
        <v>2641</v>
      </c>
      <c r="F402" s="19" t="s">
        <v>2661</v>
      </c>
      <c r="G402" s="19" t="s">
        <v>1315</v>
      </c>
      <c r="H402" s="19" t="s">
        <v>2643</v>
      </c>
      <c r="I402" s="19" t="s">
        <v>2662</v>
      </c>
      <c r="J402" s="19" t="s">
        <v>2618</v>
      </c>
      <c r="K402" s="19" t="s">
        <v>1350</v>
      </c>
      <c r="L402" s="19" t="s">
        <v>1351</v>
      </c>
      <c r="M402" s="19" t="s">
        <v>272</v>
      </c>
      <c r="N402" s="19"/>
      <c r="O402" s="19" t="s">
        <v>1321</v>
      </c>
    </row>
    <row r="403" customFormat="false" ht="22.35" hidden="false" customHeight="false" outlineLevel="0" collapsed="false">
      <c r="A403" s="19" t="s">
        <v>2663</v>
      </c>
      <c r="B403" s="19" t="s">
        <v>272</v>
      </c>
      <c r="C403" s="19" t="str">
        <f aca="false">IFERROR(INDEX('Agent Roster'!$B:$B,MATCH(B403,'Agent Roster'!$A:$A,0)),"UNASSIGNED")</f>
        <v>Process Cartographer (Layer I.C Universal Process Registry)</v>
      </c>
      <c r="D403" s="19" t="str">
        <f aca="false">IFERROR(INDEX('Agent Roster'!$D:$D,MATCH(B403,'Agent Roster'!$A:$A,0)),"UNASSIGNED")</f>
        <v>Orchestration &amp; Diagnostics</v>
      </c>
      <c r="E403" s="19" t="s">
        <v>2641</v>
      </c>
      <c r="F403" s="19" t="s">
        <v>2664</v>
      </c>
      <c r="G403" s="19" t="s">
        <v>1315</v>
      </c>
      <c r="H403" s="19" t="s">
        <v>2643</v>
      </c>
      <c r="I403" s="19" t="s">
        <v>2665</v>
      </c>
      <c r="J403" s="19" t="s">
        <v>2618</v>
      </c>
      <c r="K403" s="19" t="s">
        <v>1355</v>
      </c>
      <c r="L403" s="19" t="s">
        <v>1376</v>
      </c>
      <c r="M403" s="19" t="s">
        <v>1377</v>
      </c>
      <c r="N403" s="19"/>
      <c r="O403" s="19" t="s">
        <v>1321</v>
      </c>
    </row>
    <row r="404" customFormat="false" ht="22.35" hidden="false" customHeight="false" outlineLevel="0" collapsed="false">
      <c r="A404" s="19" t="s">
        <v>2666</v>
      </c>
      <c r="B404" s="19" t="s">
        <v>272</v>
      </c>
      <c r="C404" s="19" t="str">
        <f aca="false">IFERROR(INDEX('Agent Roster'!$B:$B,MATCH(B404,'Agent Roster'!$A:$A,0)),"UNASSIGNED")</f>
        <v>Process Cartographer (Layer I.C Universal Process Registry)</v>
      </c>
      <c r="D404" s="19" t="str">
        <f aca="false">IFERROR(INDEX('Agent Roster'!$D:$D,MATCH(B404,'Agent Roster'!$A:$A,0)),"UNASSIGNED")</f>
        <v>Orchestration &amp; Diagnostics</v>
      </c>
      <c r="E404" s="19" t="s">
        <v>2667</v>
      </c>
      <c r="F404" s="19" t="s">
        <v>2668</v>
      </c>
      <c r="G404" s="19" t="s">
        <v>1315</v>
      </c>
      <c r="H404" s="19" t="s">
        <v>2669</v>
      </c>
      <c r="I404" s="19" t="s">
        <v>2670</v>
      </c>
      <c r="J404" s="19" t="s">
        <v>2618</v>
      </c>
      <c r="K404" s="19" t="s">
        <v>1319</v>
      </c>
      <c r="L404" s="19" t="s">
        <v>1320</v>
      </c>
      <c r="M404" s="19" t="s">
        <v>272</v>
      </c>
      <c r="N404" s="19"/>
      <c r="O404" s="19" t="s">
        <v>1321</v>
      </c>
    </row>
    <row r="405" customFormat="false" ht="22.35" hidden="false" customHeight="false" outlineLevel="0" collapsed="false">
      <c r="A405" s="19" t="s">
        <v>2671</v>
      </c>
      <c r="B405" s="19" t="s">
        <v>272</v>
      </c>
      <c r="C405" s="19" t="str">
        <f aca="false">IFERROR(INDEX('Agent Roster'!$B:$B,MATCH(B405,'Agent Roster'!$A:$A,0)),"UNASSIGNED")</f>
        <v>Process Cartographer (Layer I.C Universal Process Registry)</v>
      </c>
      <c r="D405" s="19" t="str">
        <f aca="false">IFERROR(INDEX('Agent Roster'!$D:$D,MATCH(B405,'Agent Roster'!$A:$A,0)),"UNASSIGNED")</f>
        <v>Orchestration &amp; Diagnostics</v>
      </c>
      <c r="E405" s="19" t="s">
        <v>2667</v>
      </c>
      <c r="F405" s="19" t="s">
        <v>2672</v>
      </c>
      <c r="G405" s="19" t="s">
        <v>1315</v>
      </c>
      <c r="H405" s="19" t="s">
        <v>2669</v>
      </c>
      <c r="I405" s="19" t="s">
        <v>2673</v>
      </c>
      <c r="J405" s="19" t="s">
        <v>2618</v>
      </c>
      <c r="K405" s="19" t="s">
        <v>1325</v>
      </c>
      <c r="L405" s="19" t="s">
        <v>1326</v>
      </c>
      <c r="M405" s="19" t="s">
        <v>272</v>
      </c>
      <c r="N405" s="19"/>
      <c r="O405" s="19" t="s">
        <v>1321</v>
      </c>
    </row>
    <row r="406" customFormat="false" ht="22.35" hidden="false" customHeight="false" outlineLevel="0" collapsed="false">
      <c r="A406" s="19" t="s">
        <v>2674</v>
      </c>
      <c r="B406" s="19" t="s">
        <v>272</v>
      </c>
      <c r="C406" s="19" t="str">
        <f aca="false">IFERROR(INDEX('Agent Roster'!$B:$B,MATCH(B406,'Agent Roster'!$A:$A,0)),"UNASSIGNED")</f>
        <v>Process Cartographer (Layer I.C Universal Process Registry)</v>
      </c>
      <c r="D406" s="19" t="str">
        <f aca="false">IFERROR(INDEX('Agent Roster'!$D:$D,MATCH(B406,'Agent Roster'!$A:$A,0)),"UNASSIGNED")</f>
        <v>Orchestration &amp; Diagnostics</v>
      </c>
      <c r="E406" s="19" t="s">
        <v>2667</v>
      </c>
      <c r="F406" s="19" t="s">
        <v>2675</v>
      </c>
      <c r="G406" s="19" t="s">
        <v>1315</v>
      </c>
      <c r="H406" s="19" t="s">
        <v>2669</v>
      </c>
      <c r="I406" s="19" t="s">
        <v>2676</v>
      </c>
      <c r="J406" s="19" t="s">
        <v>2618</v>
      </c>
      <c r="K406" s="19" t="s">
        <v>1330</v>
      </c>
      <c r="L406" s="19" t="s">
        <v>1331</v>
      </c>
      <c r="M406" s="19" t="s">
        <v>272</v>
      </c>
      <c r="N406" s="19"/>
      <c r="O406" s="19" t="s">
        <v>1321</v>
      </c>
    </row>
    <row r="407" customFormat="false" ht="22.35" hidden="false" customHeight="false" outlineLevel="0" collapsed="false">
      <c r="A407" s="19" t="s">
        <v>2677</v>
      </c>
      <c r="B407" s="19" t="s">
        <v>272</v>
      </c>
      <c r="C407" s="19" t="str">
        <f aca="false">IFERROR(INDEX('Agent Roster'!$B:$B,MATCH(B407,'Agent Roster'!$A:$A,0)),"UNASSIGNED")</f>
        <v>Process Cartographer (Layer I.C Universal Process Registry)</v>
      </c>
      <c r="D407" s="19" t="str">
        <f aca="false">IFERROR(INDEX('Agent Roster'!$D:$D,MATCH(B407,'Agent Roster'!$A:$A,0)),"UNASSIGNED")</f>
        <v>Orchestration &amp; Diagnostics</v>
      </c>
      <c r="E407" s="19" t="s">
        <v>2667</v>
      </c>
      <c r="F407" s="19" t="s">
        <v>2678</v>
      </c>
      <c r="G407" s="19" t="s">
        <v>1315</v>
      </c>
      <c r="H407" s="19" t="s">
        <v>2669</v>
      </c>
      <c r="I407" s="19" t="s">
        <v>2679</v>
      </c>
      <c r="J407" s="19" t="s">
        <v>2618</v>
      </c>
      <c r="K407" s="19" t="s">
        <v>1335</v>
      </c>
      <c r="L407" s="19" t="s">
        <v>1336</v>
      </c>
      <c r="M407" s="19" t="s">
        <v>272</v>
      </c>
      <c r="N407" s="19"/>
      <c r="O407" s="19" t="s">
        <v>1321</v>
      </c>
    </row>
    <row r="408" customFormat="false" ht="22.35" hidden="false" customHeight="false" outlineLevel="0" collapsed="false">
      <c r="A408" s="19" t="s">
        <v>2680</v>
      </c>
      <c r="B408" s="19" t="s">
        <v>272</v>
      </c>
      <c r="C408" s="19" t="str">
        <f aca="false">IFERROR(INDEX('Agent Roster'!$B:$B,MATCH(B408,'Agent Roster'!$A:$A,0)),"UNASSIGNED")</f>
        <v>Process Cartographer (Layer I.C Universal Process Registry)</v>
      </c>
      <c r="D408" s="19" t="str">
        <f aca="false">IFERROR(INDEX('Agent Roster'!$D:$D,MATCH(B408,'Agent Roster'!$A:$A,0)),"UNASSIGNED")</f>
        <v>Orchestration &amp; Diagnostics</v>
      </c>
      <c r="E408" s="19" t="s">
        <v>2667</v>
      </c>
      <c r="F408" s="19" t="s">
        <v>2681</v>
      </c>
      <c r="G408" s="19" t="s">
        <v>1315</v>
      </c>
      <c r="H408" s="19" t="s">
        <v>2669</v>
      </c>
      <c r="I408" s="19" t="s">
        <v>2682</v>
      </c>
      <c r="J408" s="19" t="s">
        <v>2618</v>
      </c>
      <c r="K408" s="19" t="s">
        <v>1340</v>
      </c>
      <c r="L408" s="19" t="s">
        <v>1341</v>
      </c>
      <c r="M408" s="19" t="s">
        <v>272</v>
      </c>
      <c r="N408" s="19"/>
      <c r="O408" s="19" t="s">
        <v>1321</v>
      </c>
    </row>
    <row r="409" customFormat="false" ht="22.35" hidden="false" customHeight="false" outlineLevel="0" collapsed="false">
      <c r="A409" s="19" t="s">
        <v>2683</v>
      </c>
      <c r="B409" s="19" t="s">
        <v>272</v>
      </c>
      <c r="C409" s="19" t="str">
        <f aca="false">IFERROR(INDEX('Agent Roster'!$B:$B,MATCH(B409,'Agent Roster'!$A:$A,0)),"UNASSIGNED")</f>
        <v>Process Cartographer (Layer I.C Universal Process Registry)</v>
      </c>
      <c r="D409" s="19" t="str">
        <f aca="false">IFERROR(INDEX('Agent Roster'!$D:$D,MATCH(B409,'Agent Roster'!$A:$A,0)),"UNASSIGNED")</f>
        <v>Orchestration &amp; Diagnostics</v>
      </c>
      <c r="E409" s="19" t="s">
        <v>2667</v>
      </c>
      <c r="F409" s="19" t="s">
        <v>2684</v>
      </c>
      <c r="G409" s="19" t="s">
        <v>1315</v>
      </c>
      <c r="H409" s="19" t="s">
        <v>2669</v>
      </c>
      <c r="I409" s="19" t="s">
        <v>2685</v>
      </c>
      <c r="J409" s="19" t="s">
        <v>2618</v>
      </c>
      <c r="K409" s="19" t="s">
        <v>1345</v>
      </c>
      <c r="L409" s="19" t="s">
        <v>1346</v>
      </c>
      <c r="M409" s="19" t="s">
        <v>272</v>
      </c>
      <c r="N409" s="19"/>
      <c r="O409" s="19" t="s">
        <v>1321</v>
      </c>
    </row>
    <row r="410" customFormat="false" ht="22.35" hidden="false" customHeight="false" outlineLevel="0" collapsed="false">
      <c r="A410" s="19" t="s">
        <v>2686</v>
      </c>
      <c r="B410" s="19" t="s">
        <v>272</v>
      </c>
      <c r="C410" s="19" t="str">
        <f aca="false">IFERROR(INDEX('Agent Roster'!$B:$B,MATCH(B410,'Agent Roster'!$A:$A,0)),"UNASSIGNED")</f>
        <v>Process Cartographer (Layer I.C Universal Process Registry)</v>
      </c>
      <c r="D410" s="19" t="str">
        <f aca="false">IFERROR(INDEX('Agent Roster'!$D:$D,MATCH(B410,'Agent Roster'!$A:$A,0)),"UNASSIGNED")</f>
        <v>Orchestration &amp; Diagnostics</v>
      </c>
      <c r="E410" s="19" t="s">
        <v>2667</v>
      </c>
      <c r="F410" s="19" t="s">
        <v>2687</v>
      </c>
      <c r="G410" s="19" t="s">
        <v>1315</v>
      </c>
      <c r="H410" s="19" t="s">
        <v>2669</v>
      </c>
      <c r="I410" s="19" t="s">
        <v>2688</v>
      </c>
      <c r="J410" s="19" t="s">
        <v>2618</v>
      </c>
      <c r="K410" s="19" t="s">
        <v>1350</v>
      </c>
      <c r="L410" s="19" t="s">
        <v>1351</v>
      </c>
      <c r="M410" s="19" t="s">
        <v>272</v>
      </c>
      <c r="N410" s="19"/>
      <c r="O410" s="19" t="s">
        <v>1321</v>
      </c>
    </row>
    <row r="411" customFormat="false" ht="22.35" hidden="false" customHeight="false" outlineLevel="0" collapsed="false">
      <c r="A411" s="19" t="s">
        <v>2689</v>
      </c>
      <c r="B411" s="19" t="s">
        <v>272</v>
      </c>
      <c r="C411" s="19" t="str">
        <f aca="false">IFERROR(INDEX('Agent Roster'!$B:$B,MATCH(B411,'Agent Roster'!$A:$A,0)),"UNASSIGNED")</f>
        <v>Process Cartographer (Layer I.C Universal Process Registry)</v>
      </c>
      <c r="D411" s="19" t="str">
        <f aca="false">IFERROR(INDEX('Agent Roster'!$D:$D,MATCH(B411,'Agent Roster'!$A:$A,0)),"UNASSIGNED")</f>
        <v>Orchestration &amp; Diagnostics</v>
      </c>
      <c r="E411" s="19" t="s">
        <v>2667</v>
      </c>
      <c r="F411" s="19" t="s">
        <v>2690</v>
      </c>
      <c r="G411" s="19" t="s">
        <v>1315</v>
      </c>
      <c r="H411" s="19" t="s">
        <v>2669</v>
      </c>
      <c r="I411" s="19" t="s">
        <v>2691</v>
      </c>
      <c r="J411" s="19" t="s">
        <v>2618</v>
      </c>
      <c r="K411" s="19" t="s">
        <v>1355</v>
      </c>
      <c r="L411" s="19" t="s">
        <v>1376</v>
      </c>
      <c r="M411" s="19" t="s">
        <v>1377</v>
      </c>
      <c r="N411" s="19"/>
      <c r="O411" s="19" t="s">
        <v>1321</v>
      </c>
    </row>
    <row r="412" customFormat="false" ht="22.35" hidden="false" customHeight="false" outlineLevel="0" collapsed="false">
      <c r="A412" s="19" t="s">
        <v>2692</v>
      </c>
      <c r="B412" s="19" t="s">
        <v>728</v>
      </c>
      <c r="C412" s="19" t="str">
        <f aca="false">IFERROR(INDEX('Agent Roster'!$B:$B,MATCH(B412,'Agent Roster'!$A:$A,0)),"UNASSIGNED")</f>
        <v>Project Manager Agent</v>
      </c>
      <c r="D412" s="19" t="str">
        <f aca="false">IFERROR(INDEX('Agent Roster'!$D:$D,MATCH(B412,'Agent Roster'!$A:$A,0)),"UNASSIGNED")</f>
        <v>4 · Operations Hub</v>
      </c>
      <c r="E412" s="19" t="s">
        <v>2693</v>
      </c>
      <c r="F412" s="19" t="s">
        <v>2694</v>
      </c>
      <c r="G412" s="19" t="s">
        <v>1315</v>
      </c>
      <c r="H412" s="19" t="s">
        <v>731</v>
      </c>
      <c r="I412" s="19" t="s">
        <v>2695</v>
      </c>
      <c r="J412" s="19" t="s">
        <v>2696</v>
      </c>
      <c r="K412" s="19" t="s">
        <v>1319</v>
      </c>
      <c r="L412" s="19" t="s">
        <v>1320</v>
      </c>
      <c r="M412" s="19" t="s">
        <v>728</v>
      </c>
      <c r="N412" s="19"/>
      <c r="O412" s="19" t="s">
        <v>1321</v>
      </c>
    </row>
    <row r="413" customFormat="false" ht="22.35" hidden="false" customHeight="false" outlineLevel="0" collapsed="false">
      <c r="A413" s="19" t="s">
        <v>2697</v>
      </c>
      <c r="B413" s="19" t="s">
        <v>728</v>
      </c>
      <c r="C413" s="19" t="str">
        <f aca="false">IFERROR(INDEX('Agent Roster'!$B:$B,MATCH(B413,'Agent Roster'!$A:$A,0)),"UNASSIGNED")</f>
        <v>Project Manager Agent</v>
      </c>
      <c r="D413" s="19" t="str">
        <f aca="false">IFERROR(INDEX('Agent Roster'!$D:$D,MATCH(B413,'Agent Roster'!$A:$A,0)),"UNASSIGNED")</f>
        <v>4 · Operations Hub</v>
      </c>
      <c r="E413" s="19" t="s">
        <v>2693</v>
      </c>
      <c r="F413" s="19" t="s">
        <v>2698</v>
      </c>
      <c r="G413" s="19" t="s">
        <v>1315</v>
      </c>
      <c r="H413" s="19" t="s">
        <v>731</v>
      </c>
      <c r="I413" s="19" t="s">
        <v>2699</v>
      </c>
      <c r="J413" s="19" t="s">
        <v>2696</v>
      </c>
      <c r="K413" s="19" t="s">
        <v>1325</v>
      </c>
      <c r="L413" s="19" t="s">
        <v>1326</v>
      </c>
      <c r="M413" s="19" t="s">
        <v>728</v>
      </c>
      <c r="N413" s="19"/>
      <c r="O413" s="19" t="s">
        <v>1321</v>
      </c>
    </row>
    <row r="414" customFormat="false" ht="22.35" hidden="false" customHeight="false" outlineLevel="0" collapsed="false">
      <c r="A414" s="19" t="s">
        <v>2700</v>
      </c>
      <c r="B414" s="19" t="s">
        <v>728</v>
      </c>
      <c r="C414" s="19" t="str">
        <f aca="false">IFERROR(INDEX('Agent Roster'!$B:$B,MATCH(B414,'Agent Roster'!$A:$A,0)),"UNASSIGNED")</f>
        <v>Project Manager Agent</v>
      </c>
      <c r="D414" s="19" t="str">
        <f aca="false">IFERROR(INDEX('Agent Roster'!$D:$D,MATCH(B414,'Agent Roster'!$A:$A,0)),"UNASSIGNED")</f>
        <v>4 · Operations Hub</v>
      </c>
      <c r="E414" s="19" t="s">
        <v>2693</v>
      </c>
      <c r="F414" s="19" t="s">
        <v>2701</v>
      </c>
      <c r="G414" s="19" t="s">
        <v>1315</v>
      </c>
      <c r="H414" s="19" t="s">
        <v>731</v>
      </c>
      <c r="I414" s="19" t="s">
        <v>2702</v>
      </c>
      <c r="J414" s="19" t="s">
        <v>2696</v>
      </c>
      <c r="K414" s="19" t="s">
        <v>1330</v>
      </c>
      <c r="L414" s="19" t="s">
        <v>1331</v>
      </c>
      <c r="M414" s="19" t="s">
        <v>728</v>
      </c>
      <c r="N414" s="19"/>
      <c r="O414" s="19" t="s">
        <v>1321</v>
      </c>
    </row>
    <row r="415" customFormat="false" ht="22.35" hidden="false" customHeight="false" outlineLevel="0" collapsed="false">
      <c r="A415" s="19" t="s">
        <v>2703</v>
      </c>
      <c r="B415" s="19" t="s">
        <v>728</v>
      </c>
      <c r="C415" s="19" t="str">
        <f aca="false">IFERROR(INDEX('Agent Roster'!$B:$B,MATCH(B415,'Agent Roster'!$A:$A,0)),"UNASSIGNED")</f>
        <v>Project Manager Agent</v>
      </c>
      <c r="D415" s="19" t="str">
        <f aca="false">IFERROR(INDEX('Agent Roster'!$D:$D,MATCH(B415,'Agent Roster'!$A:$A,0)),"UNASSIGNED")</f>
        <v>4 · Operations Hub</v>
      </c>
      <c r="E415" s="19" t="s">
        <v>2693</v>
      </c>
      <c r="F415" s="19" t="s">
        <v>2704</v>
      </c>
      <c r="G415" s="19" t="s">
        <v>1315</v>
      </c>
      <c r="H415" s="19" t="s">
        <v>731</v>
      </c>
      <c r="I415" s="19" t="s">
        <v>2705</v>
      </c>
      <c r="J415" s="19" t="s">
        <v>2696</v>
      </c>
      <c r="K415" s="19" t="s">
        <v>1335</v>
      </c>
      <c r="L415" s="19" t="s">
        <v>1336</v>
      </c>
      <c r="M415" s="19" t="s">
        <v>728</v>
      </c>
      <c r="N415" s="19"/>
      <c r="O415" s="19" t="s">
        <v>1321</v>
      </c>
    </row>
    <row r="416" customFormat="false" ht="32.8" hidden="false" customHeight="false" outlineLevel="0" collapsed="false">
      <c r="A416" s="19" t="s">
        <v>2706</v>
      </c>
      <c r="B416" s="19" t="s">
        <v>728</v>
      </c>
      <c r="C416" s="19" t="str">
        <f aca="false">IFERROR(INDEX('Agent Roster'!$B:$B,MATCH(B416,'Agent Roster'!$A:$A,0)),"UNASSIGNED")</f>
        <v>Project Manager Agent</v>
      </c>
      <c r="D416" s="19" t="str">
        <f aca="false">IFERROR(INDEX('Agent Roster'!$D:$D,MATCH(B416,'Agent Roster'!$A:$A,0)),"UNASSIGNED")</f>
        <v>4 · Operations Hub</v>
      </c>
      <c r="E416" s="19" t="s">
        <v>2693</v>
      </c>
      <c r="F416" s="19" t="s">
        <v>2707</v>
      </c>
      <c r="G416" s="19" t="s">
        <v>1315</v>
      </c>
      <c r="H416" s="19" t="s">
        <v>731</v>
      </c>
      <c r="I416" s="19" t="s">
        <v>2708</v>
      </c>
      <c r="J416" s="19" t="s">
        <v>2696</v>
      </c>
      <c r="K416" s="19" t="s">
        <v>1340</v>
      </c>
      <c r="L416" s="19" t="s">
        <v>1341</v>
      </c>
      <c r="M416" s="19" t="s">
        <v>728</v>
      </c>
      <c r="N416" s="19"/>
      <c r="O416" s="19" t="s">
        <v>1321</v>
      </c>
    </row>
    <row r="417" customFormat="false" ht="22.35" hidden="false" customHeight="false" outlineLevel="0" collapsed="false">
      <c r="A417" s="19" t="s">
        <v>2709</v>
      </c>
      <c r="B417" s="19" t="s">
        <v>728</v>
      </c>
      <c r="C417" s="19" t="str">
        <f aca="false">IFERROR(INDEX('Agent Roster'!$B:$B,MATCH(B417,'Agent Roster'!$A:$A,0)),"UNASSIGNED")</f>
        <v>Project Manager Agent</v>
      </c>
      <c r="D417" s="19" t="str">
        <f aca="false">IFERROR(INDEX('Agent Roster'!$D:$D,MATCH(B417,'Agent Roster'!$A:$A,0)),"UNASSIGNED")</f>
        <v>4 · Operations Hub</v>
      </c>
      <c r="E417" s="19" t="s">
        <v>2693</v>
      </c>
      <c r="F417" s="19" t="s">
        <v>2710</v>
      </c>
      <c r="G417" s="19" t="s">
        <v>1315</v>
      </c>
      <c r="H417" s="19" t="s">
        <v>731</v>
      </c>
      <c r="I417" s="19" t="s">
        <v>2711</v>
      </c>
      <c r="J417" s="19" t="s">
        <v>2696</v>
      </c>
      <c r="K417" s="19" t="s">
        <v>1345</v>
      </c>
      <c r="L417" s="19" t="s">
        <v>1346</v>
      </c>
      <c r="M417" s="19" t="s">
        <v>728</v>
      </c>
      <c r="N417" s="19"/>
      <c r="O417" s="19" t="s">
        <v>1321</v>
      </c>
    </row>
    <row r="418" customFormat="false" ht="22.35" hidden="false" customHeight="false" outlineLevel="0" collapsed="false">
      <c r="A418" s="19" t="s">
        <v>2712</v>
      </c>
      <c r="B418" s="19" t="s">
        <v>728</v>
      </c>
      <c r="C418" s="19" t="str">
        <f aca="false">IFERROR(INDEX('Agent Roster'!$B:$B,MATCH(B418,'Agent Roster'!$A:$A,0)),"UNASSIGNED")</f>
        <v>Project Manager Agent</v>
      </c>
      <c r="D418" s="19" t="str">
        <f aca="false">IFERROR(INDEX('Agent Roster'!$D:$D,MATCH(B418,'Agent Roster'!$A:$A,0)),"UNASSIGNED")</f>
        <v>4 · Operations Hub</v>
      </c>
      <c r="E418" s="19" t="s">
        <v>2693</v>
      </c>
      <c r="F418" s="19" t="s">
        <v>2713</v>
      </c>
      <c r="G418" s="19" t="s">
        <v>1315</v>
      </c>
      <c r="H418" s="19" t="s">
        <v>731</v>
      </c>
      <c r="I418" s="19" t="s">
        <v>2714</v>
      </c>
      <c r="J418" s="19" t="s">
        <v>2696</v>
      </c>
      <c r="K418" s="19" t="s">
        <v>1350</v>
      </c>
      <c r="L418" s="19" t="s">
        <v>1351</v>
      </c>
      <c r="M418" s="19" t="s">
        <v>728</v>
      </c>
      <c r="N418" s="19"/>
      <c r="O418" s="19" t="s">
        <v>1321</v>
      </c>
    </row>
    <row r="419" customFormat="false" ht="22.35" hidden="false" customHeight="false" outlineLevel="0" collapsed="false">
      <c r="A419" s="19" t="s">
        <v>2715</v>
      </c>
      <c r="B419" s="19" t="s">
        <v>728</v>
      </c>
      <c r="C419" s="19" t="str">
        <f aca="false">IFERROR(INDEX('Agent Roster'!$B:$B,MATCH(B419,'Agent Roster'!$A:$A,0)),"UNASSIGNED")</f>
        <v>Project Manager Agent</v>
      </c>
      <c r="D419" s="19" t="str">
        <f aca="false">IFERROR(INDEX('Agent Roster'!$D:$D,MATCH(B419,'Agent Roster'!$A:$A,0)),"UNASSIGNED")</f>
        <v>4 · Operations Hub</v>
      </c>
      <c r="E419" s="19" t="s">
        <v>2693</v>
      </c>
      <c r="F419" s="19" t="s">
        <v>2716</v>
      </c>
      <c r="G419" s="19" t="s">
        <v>1315</v>
      </c>
      <c r="H419" s="19" t="s">
        <v>731</v>
      </c>
      <c r="I419" s="19" t="s">
        <v>2717</v>
      </c>
      <c r="J419" s="19" t="s">
        <v>2696</v>
      </c>
      <c r="K419" s="19" t="s">
        <v>1355</v>
      </c>
      <c r="L419" s="19" t="s">
        <v>1356</v>
      </c>
      <c r="M419" s="19" t="s">
        <v>728</v>
      </c>
      <c r="N419" s="19"/>
      <c r="O419" s="19" t="s">
        <v>1321</v>
      </c>
    </row>
    <row r="420" customFormat="false" ht="22.35" hidden="false" customHeight="false" outlineLevel="0" collapsed="false">
      <c r="A420" s="19" t="s">
        <v>2718</v>
      </c>
      <c r="B420" s="19" t="s">
        <v>728</v>
      </c>
      <c r="C420" s="19" t="str">
        <f aca="false">IFERROR(INDEX('Agent Roster'!$B:$B,MATCH(B420,'Agent Roster'!$A:$A,0)),"UNASSIGNED")</f>
        <v>Project Manager Agent</v>
      </c>
      <c r="D420" s="19" t="str">
        <f aca="false">IFERROR(INDEX('Agent Roster'!$D:$D,MATCH(B420,'Agent Roster'!$A:$A,0)),"UNASSIGNED")</f>
        <v>4 · Operations Hub</v>
      </c>
      <c r="E420" s="19" t="s">
        <v>2693</v>
      </c>
      <c r="F420" s="19" t="s">
        <v>2719</v>
      </c>
      <c r="G420" s="19" t="s">
        <v>1315</v>
      </c>
      <c r="H420" s="19" t="s">
        <v>731</v>
      </c>
      <c r="I420" s="19" t="s">
        <v>2720</v>
      </c>
      <c r="J420" s="19" t="s">
        <v>2696</v>
      </c>
      <c r="K420" s="19" t="s">
        <v>1360</v>
      </c>
      <c r="L420" s="19" t="s">
        <v>1361</v>
      </c>
      <c r="M420" s="19" t="s">
        <v>728</v>
      </c>
      <c r="N420" s="19"/>
      <c r="O420" s="19" t="s">
        <v>1321</v>
      </c>
    </row>
    <row r="421" customFormat="false" ht="22.35" hidden="false" customHeight="false" outlineLevel="0" collapsed="false">
      <c r="A421" s="19" t="s">
        <v>2721</v>
      </c>
      <c r="B421" s="19" t="s">
        <v>728</v>
      </c>
      <c r="C421" s="19" t="str">
        <f aca="false">IFERROR(INDEX('Agent Roster'!$B:$B,MATCH(B421,'Agent Roster'!$A:$A,0)),"UNASSIGNED")</f>
        <v>Project Manager Agent</v>
      </c>
      <c r="D421" s="19" t="str">
        <f aca="false">IFERROR(INDEX('Agent Roster'!$D:$D,MATCH(B421,'Agent Roster'!$A:$A,0)),"UNASSIGNED")</f>
        <v>4 · Operations Hub</v>
      </c>
      <c r="E421" s="19" t="s">
        <v>2693</v>
      </c>
      <c r="F421" s="19" t="s">
        <v>2722</v>
      </c>
      <c r="G421" s="19" t="s">
        <v>1315</v>
      </c>
      <c r="H421" s="19" t="s">
        <v>731</v>
      </c>
      <c r="I421" s="19" t="s">
        <v>2723</v>
      </c>
      <c r="J421" s="19" t="s">
        <v>2696</v>
      </c>
      <c r="K421" s="19" t="s">
        <v>1365</v>
      </c>
      <c r="L421" s="19" t="s">
        <v>1376</v>
      </c>
      <c r="M421" s="19" t="s">
        <v>1377</v>
      </c>
      <c r="N421" s="19"/>
      <c r="O421" s="19" t="s">
        <v>1321</v>
      </c>
    </row>
    <row r="422" customFormat="false" ht="22.35" hidden="false" customHeight="false" outlineLevel="0" collapsed="false">
      <c r="A422" s="19" t="s">
        <v>2724</v>
      </c>
      <c r="B422" s="19" t="s">
        <v>346</v>
      </c>
      <c r="C422" s="19" t="str">
        <f aca="false">IFERROR(INDEX('Agent Roster'!$B:$B,MATCH(B422,'Agent Roster'!$A:$A,0)),"UNASSIGNED")</f>
        <v>Crisis Coordinator</v>
      </c>
      <c r="D422" s="19" t="str">
        <f aca="false">IFERROR(INDEX('Agent Roster'!$D:$D,MATCH(B422,'Agent Roster'!$A:$A,0)),"UNASSIGNED")</f>
        <v>Orchestration &amp; Diagnostics</v>
      </c>
      <c r="E422" s="19" t="s">
        <v>2725</v>
      </c>
      <c r="F422" s="19" t="s">
        <v>2726</v>
      </c>
      <c r="G422" s="19" t="s">
        <v>1315</v>
      </c>
      <c r="H422" s="19" t="s">
        <v>349</v>
      </c>
      <c r="I422" s="19" t="s">
        <v>2727</v>
      </c>
      <c r="J422" s="19" t="s">
        <v>2728</v>
      </c>
      <c r="K422" s="19" t="s">
        <v>1319</v>
      </c>
      <c r="L422" s="19" t="s">
        <v>1320</v>
      </c>
      <c r="M422" s="19" t="s">
        <v>346</v>
      </c>
      <c r="N422" s="19"/>
      <c r="O422" s="19" t="s">
        <v>1321</v>
      </c>
    </row>
    <row r="423" customFormat="false" ht="22.35" hidden="false" customHeight="false" outlineLevel="0" collapsed="false">
      <c r="A423" s="19" t="s">
        <v>2729</v>
      </c>
      <c r="B423" s="19" t="s">
        <v>346</v>
      </c>
      <c r="C423" s="19" t="str">
        <f aca="false">IFERROR(INDEX('Agent Roster'!$B:$B,MATCH(B423,'Agent Roster'!$A:$A,0)),"UNASSIGNED")</f>
        <v>Crisis Coordinator</v>
      </c>
      <c r="D423" s="19" t="str">
        <f aca="false">IFERROR(INDEX('Agent Roster'!$D:$D,MATCH(B423,'Agent Roster'!$A:$A,0)),"UNASSIGNED")</f>
        <v>Orchestration &amp; Diagnostics</v>
      </c>
      <c r="E423" s="19" t="s">
        <v>2725</v>
      </c>
      <c r="F423" s="19" t="s">
        <v>2730</v>
      </c>
      <c r="G423" s="19" t="s">
        <v>1315</v>
      </c>
      <c r="H423" s="19" t="s">
        <v>349</v>
      </c>
      <c r="I423" s="19" t="s">
        <v>2731</v>
      </c>
      <c r="J423" s="19" t="s">
        <v>2728</v>
      </c>
      <c r="K423" s="19" t="s">
        <v>1325</v>
      </c>
      <c r="L423" s="19" t="s">
        <v>1326</v>
      </c>
      <c r="M423" s="19" t="s">
        <v>346</v>
      </c>
      <c r="N423" s="19"/>
      <c r="O423" s="19" t="s">
        <v>1321</v>
      </c>
    </row>
    <row r="424" customFormat="false" ht="22.35" hidden="false" customHeight="false" outlineLevel="0" collapsed="false">
      <c r="A424" s="19" t="s">
        <v>2732</v>
      </c>
      <c r="B424" s="19" t="s">
        <v>47</v>
      </c>
      <c r="C424" s="19" t="str">
        <f aca="false">IFERROR(INDEX('Agent Roster'!$B:$B,MATCH(B424,'Agent Roster'!$A:$A,0)),"UNASSIGNED")</f>
        <v>Founder / Operator (HUMAN)</v>
      </c>
      <c r="D424" s="19" t="str">
        <f aca="false">IFERROR(INDEX('Agent Roster'!$D:$D,MATCH(B424,'Agent Roster'!$A:$A,0)),"UNASSIGNED")</f>
        <v>Governance &amp; Meta-Tier</v>
      </c>
      <c r="E424" s="19" t="s">
        <v>2725</v>
      </c>
      <c r="F424" s="19" t="s">
        <v>2733</v>
      </c>
      <c r="G424" s="19" t="s">
        <v>1315</v>
      </c>
      <c r="H424" s="19" t="s">
        <v>349</v>
      </c>
      <c r="I424" s="19" t="s">
        <v>2734</v>
      </c>
      <c r="J424" s="19" t="s">
        <v>2728</v>
      </c>
      <c r="K424" s="19" t="s">
        <v>1330</v>
      </c>
      <c r="L424" s="19" t="s">
        <v>1331</v>
      </c>
      <c r="M424" s="19" t="s">
        <v>47</v>
      </c>
      <c r="N424" s="19" t="s">
        <v>1657</v>
      </c>
      <c r="O424" s="19" t="s">
        <v>1321</v>
      </c>
    </row>
    <row r="425" customFormat="false" ht="22.35" hidden="false" customHeight="false" outlineLevel="0" collapsed="false">
      <c r="A425" s="19" t="s">
        <v>2735</v>
      </c>
      <c r="B425" s="19" t="s">
        <v>346</v>
      </c>
      <c r="C425" s="19" t="str">
        <f aca="false">IFERROR(INDEX('Agent Roster'!$B:$B,MATCH(B425,'Agent Roster'!$A:$A,0)),"UNASSIGNED")</f>
        <v>Crisis Coordinator</v>
      </c>
      <c r="D425" s="19" t="str">
        <f aca="false">IFERROR(INDEX('Agent Roster'!$D:$D,MATCH(B425,'Agent Roster'!$A:$A,0)),"UNASSIGNED")</f>
        <v>Orchestration &amp; Diagnostics</v>
      </c>
      <c r="E425" s="19" t="s">
        <v>2725</v>
      </c>
      <c r="F425" s="19" t="s">
        <v>2736</v>
      </c>
      <c r="G425" s="19" t="s">
        <v>1315</v>
      </c>
      <c r="H425" s="19" t="s">
        <v>349</v>
      </c>
      <c r="I425" s="19" t="s">
        <v>2737</v>
      </c>
      <c r="J425" s="19" t="s">
        <v>2728</v>
      </c>
      <c r="K425" s="19" t="s">
        <v>1335</v>
      </c>
      <c r="L425" s="19" t="s">
        <v>1336</v>
      </c>
      <c r="M425" s="19" t="s">
        <v>346</v>
      </c>
      <c r="N425" s="19"/>
      <c r="O425" s="19" t="s">
        <v>1321</v>
      </c>
    </row>
    <row r="426" customFormat="false" ht="22.35" hidden="false" customHeight="false" outlineLevel="0" collapsed="false">
      <c r="A426" s="19" t="s">
        <v>2738</v>
      </c>
      <c r="B426" s="19" t="s">
        <v>346</v>
      </c>
      <c r="C426" s="19" t="str">
        <f aca="false">IFERROR(INDEX('Agent Roster'!$B:$B,MATCH(B426,'Agent Roster'!$A:$A,0)),"UNASSIGNED")</f>
        <v>Crisis Coordinator</v>
      </c>
      <c r="D426" s="19" t="str">
        <f aca="false">IFERROR(INDEX('Agent Roster'!$D:$D,MATCH(B426,'Agent Roster'!$A:$A,0)),"UNASSIGNED")</f>
        <v>Orchestration &amp; Diagnostics</v>
      </c>
      <c r="E426" s="19" t="s">
        <v>2725</v>
      </c>
      <c r="F426" s="19" t="s">
        <v>2739</v>
      </c>
      <c r="G426" s="19" t="s">
        <v>1315</v>
      </c>
      <c r="H426" s="19" t="s">
        <v>349</v>
      </c>
      <c r="I426" s="19" t="s">
        <v>2740</v>
      </c>
      <c r="J426" s="19" t="s">
        <v>2728</v>
      </c>
      <c r="K426" s="19" t="s">
        <v>1340</v>
      </c>
      <c r="L426" s="19" t="s">
        <v>1341</v>
      </c>
      <c r="M426" s="19" t="s">
        <v>346</v>
      </c>
      <c r="N426" s="19"/>
      <c r="O426" s="19" t="s">
        <v>1321</v>
      </c>
    </row>
    <row r="427" customFormat="false" ht="22.35" hidden="false" customHeight="false" outlineLevel="0" collapsed="false">
      <c r="A427" s="19" t="s">
        <v>2741</v>
      </c>
      <c r="B427" s="19" t="s">
        <v>346</v>
      </c>
      <c r="C427" s="19" t="str">
        <f aca="false">IFERROR(INDEX('Agent Roster'!$B:$B,MATCH(B427,'Agent Roster'!$A:$A,0)),"UNASSIGNED")</f>
        <v>Crisis Coordinator</v>
      </c>
      <c r="D427" s="19" t="str">
        <f aca="false">IFERROR(INDEX('Agent Roster'!$D:$D,MATCH(B427,'Agent Roster'!$A:$A,0)),"UNASSIGNED")</f>
        <v>Orchestration &amp; Diagnostics</v>
      </c>
      <c r="E427" s="19" t="s">
        <v>2725</v>
      </c>
      <c r="F427" s="19" t="s">
        <v>2742</v>
      </c>
      <c r="G427" s="19" t="s">
        <v>1315</v>
      </c>
      <c r="H427" s="19" t="s">
        <v>349</v>
      </c>
      <c r="I427" s="19" t="s">
        <v>2743</v>
      </c>
      <c r="J427" s="19" t="s">
        <v>2728</v>
      </c>
      <c r="K427" s="19" t="s">
        <v>1345</v>
      </c>
      <c r="L427" s="19" t="s">
        <v>1346</v>
      </c>
      <c r="M427" s="19" t="s">
        <v>346</v>
      </c>
      <c r="N427" s="19"/>
      <c r="O427" s="19" t="s">
        <v>1321</v>
      </c>
    </row>
    <row r="428" customFormat="false" ht="22.35" hidden="false" customHeight="false" outlineLevel="0" collapsed="false">
      <c r="A428" s="19" t="s">
        <v>2744</v>
      </c>
      <c r="B428" s="19" t="s">
        <v>346</v>
      </c>
      <c r="C428" s="19" t="str">
        <f aca="false">IFERROR(INDEX('Agent Roster'!$B:$B,MATCH(B428,'Agent Roster'!$A:$A,0)),"UNASSIGNED")</f>
        <v>Crisis Coordinator</v>
      </c>
      <c r="D428" s="19" t="str">
        <f aca="false">IFERROR(INDEX('Agent Roster'!$D:$D,MATCH(B428,'Agent Roster'!$A:$A,0)),"UNASSIGNED")</f>
        <v>Orchestration &amp; Diagnostics</v>
      </c>
      <c r="E428" s="19" t="s">
        <v>2725</v>
      </c>
      <c r="F428" s="19" t="s">
        <v>2745</v>
      </c>
      <c r="G428" s="19" t="s">
        <v>1315</v>
      </c>
      <c r="H428" s="19" t="s">
        <v>349</v>
      </c>
      <c r="I428" s="19" t="s">
        <v>2746</v>
      </c>
      <c r="J428" s="19" t="s">
        <v>2728</v>
      </c>
      <c r="K428" s="19" t="s">
        <v>1350</v>
      </c>
      <c r="L428" s="19" t="s">
        <v>1351</v>
      </c>
      <c r="M428" s="19" t="s">
        <v>346</v>
      </c>
      <c r="N428" s="19"/>
      <c r="O428" s="19" t="s">
        <v>1321</v>
      </c>
    </row>
    <row r="429" customFormat="false" ht="22.35" hidden="false" customHeight="false" outlineLevel="0" collapsed="false">
      <c r="A429" s="19" t="s">
        <v>2747</v>
      </c>
      <c r="B429" s="19" t="s">
        <v>346</v>
      </c>
      <c r="C429" s="19" t="str">
        <f aca="false">IFERROR(INDEX('Agent Roster'!$B:$B,MATCH(B429,'Agent Roster'!$A:$A,0)),"UNASSIGNED")</f>
        <v>Crisis Coordinator</v>
      </c>
      <c r="D429" s="19" t="str">
        <f aca="false">IFERROR(INDEX('Agent Roster'!$D:$D,MATCH(B429,'Agent Roster'!$A:$A,0)),"UNASSIGNED")</f>
        <v>Orchestration &amp; Diagnostics</v>
      </c>
      <c r="E429" s="19" t="s">
        <v>2725</v>
      </c>
      <c r="F429" s="19" t="s">
        <v>2748</v>
      </c>
      <c r="G429" s="19" t="s">
        <v>1315</v>
      </c>
      <c r="H429" s="19" t="s">
        <v>349</v>
      </c>
      <c r="I429" s="19" t="s">
        <v>2749</v>
      </c>
      <c r="J429" s="19" t="s">
        <v>2728</v>
      </c>
      <c r="K429" s="19" t="s">
        <v>1355</v>
      </c>
      <c r="L429" s="19" t="s">
        <v>1356</v>
      </c>
      <c r="M429" s="19" t="s">
        <v>346</v>
      </c>
      <c r="N429" s="19"/>
      <c r="O429" s="19" t="s">
        <v>1321</v>
      </c>
    </row>
    <row r="430" customFormat="false" ht="22.35" hidden="false" customHeight="false" outlineLevel="0" collapsed="false">
      <c r="A430" s="19" t="s">
        <v>2750</v>
      </c>
      <c r="B430" s="19" t="s">
        <v>346</v>
      </c>
      <c r="C430" s="19" t="str">
        <f aca="false">IFERROR(INDEX('Agent Roster'!$B:$B,MATCH(B430,'Agent Roster'!$A:$A,0)),"UNASSIGNED")</f>
        <v>Crisis Coordinator</v>
      </c>
      <c r="D430" s="19" t="str">
        <f aca="false">IFERROR(INDEX('Agent Roster'!$D:$D,MATCH(B430,'Agent Roster'!$A:$A,0)),"UNASSIGNED")</f>
        <v>Orchestration &amp; Diagnostics</v>
      </c>
      <c r="E430" s="19" t="s">
        <v>2725</v>
      </c>
      <c r="F430" s="19" t="s">
        <v>2751</v>
      </c>
      <c r="G430" s="19" t="s">
        <v>1315</v>
      </c>
      <c r="H430" s="19" t="s">
        <v>349</v>
      </c>
      <c r="I430" s="19" t="s">
        <v>2752</v>
      </c>
      <c r="J430" s="19" t="s">
        <v>2728</v>
      </c>
      <c r="K430" s="19" t="s">
        <v>1360</v>
      </c>
      <c r="L430" s="19" t="s">
        <v>1376</v>
      </c>
      <c r="M430" s="19" t="s">
        <v>1377</v>
      </c>
      <c r="N430" s="19"/>
      <c r="O430" s="19" t="s">
        <v>1321</v>
      </c>
    </row>
    <row r="431" customFormat="false" ht="15" hidden="false" customHeight="false" outlineLevel="0" collapsed="false">
      <c r="A431" s="19" t="s">
        <v>2753</v>
      </c>
      <c r="B431" s="19" t="s">
        <v>1244</v>
      </c>
      <c r="C431" s="19" t="str">
        <f aca="false">IFERROR(INDEX('Agent Roster'!$B:$B,MATCH(B431,'Agent Roster'!$A:$A,0)),"UNASSIGNED")</f>
        <v>Brand Standards Agent</v>
      </c>
      <c r="D431" s="19" t="str">
        <f aca="false">IFERROR(INDEX('Agent Roster'!$D:$D,MATCH(B431,'Agent Roster'!$A:$A,0)),"UNASSIGNED")</f>
        <v>9 · Content Hub</v>
      </c>
      <c r="E431" s="19" t="s">
        <v>2754</v>
      </c>
      <c r="F431" s="19" t="s">
        <v>2755</v>
      </c>
      <c r="G431" s="19" t="s">
        <v>1315</v>
      </c>
      <c r="H431" s="19" t="s">
        <v>1247</v>
      </c>
      <c r="I431" s="19" t="s">
        <v>2756</v>
      </c>
      <c r="J431" s="19" t="s">
        <v>2757</v>
      </c>
      <c r="K431" s="19" t="s">
        <v>1319</v>
      </c>
      <c r="L431" s="19" t="s">
        <v>1320</v>
      </c>
      <c r="M431" s="19" t="s">
        <v>1244</v>
      </c>
      <c r="N431" s="19"/>
      <c r="O431" s="19" t="s">
        <v>1321</v>
      </c>
    </row>
    <row r="432" customFormat="false" ht="22.35" hidden="false" customHeight="false" outlineLevel="0" collapsed="false">
      <c r="A432" s="19" t="s">
        <v>2758</v>
      </c>
      <c r="B432" s="19" t="s">
        <v>1244</v>
      </c>
      <c r="C432" s="19" t="str">
        <f aca="false">IFERROR(INDEX('Agent Roster'!$B:$B,MATCH(B432,'Agent Roster'!$A:$A,0)),"UNASSIGNED")</f>
        <v>Brand Standards Agent</v>
      </c>
      <c r="D432" s="19" t="str">
        <f aca="false">IFERROR(INDEX('Agent Roster'!$D:$D,MATCH(B432,'Agent Roster'!$A:$A,0)),"UNASSIGNED")</f>
        <v>9 · Content Hub</v>
      </c>
      <c r="E432" s="19" t="s">
        <v>2754</v>
      </c>
      <c r="F432" s="19" t="s">
        <v>2759</v>
      </c>
      <c r="G432" s="19" t="s">
        <v>1315</v>
      </c>
      <c r="H432" s="19" t="s">
        <v>1247</v>
      </c>
      <c r="I432" s="19" t="s">
        <v>2760</v>
      </c>
      <c r="J432" s="19" t="s">
        <v>2757</v>
      </c>
      <c r="K432" s="19" t="s">
        <v>1325</v>
      </c>
      <c r="L432" s="19" t="s">
        <v>1326</v>
      </c>
      <c r="M432" s="19" t="s">
        <v>1244</v>
      </c>
      <c r="N432" s="19"/>
      <c r="O432" s="19" t="s">
        <v>1321</v>
      </c>
    </row>
    <row r="433" customFormat="false" ht="22.35" hidden="false" customHeight="false" outlineLevel="0" collapsed="false">
      <c r="A433" s="19" t="s">
        <v>2761</v>
      </c>
      <c r="B433" s="19" t="s">
        <v>1244</v>
      </c>
      <c r="C433" s="19" t="str">
        <f aca="false">IFERROR(INDEX('Agent Roster'!$B:$B,MATCH(B433,'Agent Roster'!$A:$A,0)),"UNASSIGNED")</f>
        <v>Brand Standards Agent</v>
      </c>
      <c r="D433" s="19" t="str">
        <f aca="false">IFERROR(INDEX('Agent Roster'!$D:$D,MATCH(B433,'Agent Roster'!$A:$A,0)),"UNASSIGNED")</f>
        <v>9 · Content Hub</v>
      </c>
      <c r="E433" s="19" t="s">
        <v>2754</v>
      </c>
      <c r="F433" s="19" t="s">
        <v>2762</v>
      </c>
      <c r="G433" s="19" t="s">
        <v>1315</v>
      </c>
      <c r="H433" s="19" t="s">
        <v>1247</v>
      </c>
      <c r="I433" s="19" t="s">
        <v>2763</v>
      </c>
      <c r="J433" s="19" t="s">
        <v>2757</v>
      </c>
      <c r="K433" s="19" t="s">
        <v>1330</v>
      </c>
      <c r="L433" s="19" t="s">
        <v>1331</v>
      </c>
      <c r="M433" s="19" t="s">
        <v>1244</v>
      </c>
      <c r="N433" s="19"/>
      <c r="O433" s="19" t="s">
        <v>1321</v>
      </c>
    </row>
    <row r="434" customFormat="false" ht="22.35" hidden="false" customHeight="false" outlineLevel="0" collapsed="false">
      <c r="A434" s="19" t="s">
        <v>2764</v>
      </c>
      <c r="B434" s="19" t="s">
        <v>1244</v>
      </c>
      <c r="C434" s="19" t="str">
        <f aca="false">IFERROR(INDEX('Agent Roster'!$B:$B,MATCH(B434,'Agent Roster'!$A:$A,0)),"UNASSIGNED")</f>
        <v>Brand Standards Agent</v>
      </c>
      <c r="D434" s="19" t="str">
        <f aca="false">IFERROR(INDEX('Agent Roster'!$D:$D,MATCH(B434,'Agent Roster'!$A:$A,0)),"UNASSIGNED")</f>
        <v>9 · Content Hub</v>
      </c>
      <c r="E434" s="19" t="s">
        <v>2754</v>
      </c>
      <c r="F434" s="19" t="s">
        <v>2765</v>
      </c>
      <c r="G434" s="19" t="s">
        <v>1315</v>
      </c>
      <c r="H434" s="19" t="s">
        <v>1247</v>
      </c>
      <c r="I434" s="19" t="s">
        <v>2766</v>
      </c>
      <c r="J434" s="19" t="s">
        <v>2757</v>
      </c>
      <c r="K434" s="19" t="s">
        <v>1335</v>
      </c>
      <c r="L434" s="19" t="s">
        <v>1336</v>
      </c>
      <c r="M434" s="19" t="s">
        <v>1244</v>
      </c>
      <c r="N434" s="19"/>
      <c r="O434" s="19" t="s">
        <v>1321</v>
      </c>
    </row>
    <row r="435" customFormat="false" ht="22.35" hidden="false" customHeight="false" outlineLevel="0" collapsed="false">
      <c r="A435" s="19" t="s">
        <v>2767</v>
      </c>
      <c r="B435" s="19" t="s">
        <v>1244</v>
      </c>
      <c r="C435" s="19" t="str">
        <f aca="false">IFERROR(INDEX('Agent Roster'!$B:$B,MATCH(B435,'Agent Roster'!$A:$A,0)),"UNASSIGNED")</f>
        <v>Brand Standards Agent</v>
      </c>
      <c r="D435" s="19" t="str">
        <f aca="false">IFERROR(INDEX('Agent Roster'!$D:$D,MATCH(B435,'Agent Roster'!$A:$A,0)),"UNASSIGNED")</f>
        <v>9 · Content Hub</v>
      </c>
      <c r="E435" s="19" t="s">
        <v>2754</v>
      </c>
      <c r="F435" s="19" t="s">
        <v>2768</v>
      </c>
      <c r="G435" s="19" t="s">
        <v>1315</v>
      </c>
      <c r="H435" s="19" t="s">
        <v>1247</v>
      </c>
      <c r="I435" s="19" t="s">
        <v>2769</v>
      </c>
      <c r="J435" s="19" t="s">
        <v>2757</v>
      </c>
      <c r="K435" s="19" t="s">
        <v>1340</v>
      </c>
      <c r="L435" s="19" t="s">
        <v>1341</v>
      </c>
      <c r="M435" s="19" t="s">
        <v>1244</v>
      </c>
      <c r="N435" s="19"/>
      <c r="O435" s="19" t="s">
        <v>1321</v>
      </c>
    </row>
    <row r="436" customFormat="false" ht="22.35" hidden="false" customHeight="false" outlineLevel="0" collapsed="false">
      <c r="A436" s="19" t="s">
        <v>2770</v>
      </c>
      <c r="B436" s="19" t="s">
        <v>1244</v>
      </c>
      <c r="C436" s="19" t="str">
        <f aca="false">IFERROR(INDEX('Agent Roster'!$B:$B,MATCH(B436,'Agent Roster'!$A:$A,0)),"UNASSIGNED")</f>
        <v>Brand Standards Agent</v>
      </c>
      <c r="D436" s="19" t="str">
        <f aca="false">IFERROR(INDEX('Agent Roster'!$D:$D,MATCH(B436,'Agent Roster'!$A:$A,0)),"UNASSIGNED")</f>
        <v>9 · Content Hub</v>
      </c>
      <c r="E436" s="19" t="s">
        <v>2754</v>
      </c>
      <c r="F436" s="19" t="s">
        <v>2771</v>
      </c>
      <c r="G436" s="19" t="s">
        <v>1315</v>
      </c>
      <c r="H436" s="19" t="s">
        <v>1247</v>
      </c>
      <c r="I436" s="19" t="s">
        <v>2772</v>
      </c>
      <c r="J436" s="19" t="s">
        <v>2757</v>
      </c>
      <c r="K436" s="19" t="s">
        <v>1345</v>
      </c>
      <c r="L436" s="19" t="s">
        <v>1346</v>
      </c>
      <c r="M436" s="19" t="s">
        <v>1244</v>
      </c>
      <c r="N436" s="19"/>
      <c r="O436" s="19" t="s">
        <v>1321</v>
      </c>
    </row>
    <row r="437" customFormat="false" ht="22.35" hidden="false" customHeight="false" outlineLevel="0" collapsed="false">
      <c r="A437" s="19" t="s">
        <v>2773</v>
      </c>
      <c r="B437" s="19" t="s">
        <v>1244</v>
      </c>
      <c r="C437" s="19" t="str">
        <f aca="false">IFERROR(INDEX('Agent Roster'!$B:$B,MATCH(B437,'Agent Roster'!$A:$A,0)),"UNASSIGNED")</f>
        <v>Brand Standards Agent</v>
      </c>
      <c r="D437" s="19" t="str">
        <f aca="false">IFERROR(INDEX('Agent Roster'!$D:$D,MATCH(B437,'Agent Roster'!$A:$A,0)),"UNASSIGNED")</f>
        <v>9 · Content Hub</v>
      </c>
      <c r="E437" s="19" t="s">
        <v>2754</v>
      </c>
      <c r="F437" s="19" t="s">
        <v>2774</v>
      </c>
      <c r="G437" s="19" t="s">
        <v>1315</v>
      </c>
      <c r="H437" s="19" t="s">
        <v>1247</v>
      </c>
      <c r="I437" s="19" t="s">
        <v>2775</v>
      </c>
      <c r="J437" s="19" t="s">
        <v>2757</v>
      </c>
      <c r="K437" s="19" t="s">
        <v>1350</v>
      </c>
      <c r="L437" s="19" t="s">
        <v>1351</v>
      </c>
      <c r="M437" s="19" t="s">
        <v>1244</v>
      </c>
      <c r="N437" s="19"/>
      <c r="O437" s="19" t="s">
        <v>1321</v>
      </c>
    </row>
    <row r="438" customFormat="false" ht="22.35" hidden="false" customHeight="false" outlineLevel="0" collapsed="false">
      <c r="A438" s="19" t="s">
        <v>2776</v>
      </c>
      <c r="B438" s="19" t="s">
        <v>1244</v>
      </c>
      <c r="C438" s="19" t="str">
        <f aca="false">IFERROR(INDEX('Agent Roster'!$B:$B,MATCH(B438,'Agent Roster'!$A:$A,0)),"UNASSIGNED")</f>
        <v>Brand Standards Agent</v>
      </c>
      <c r="D438" s="19" t="str">
        <f aca="false">IFERROR(INDEX('Agent Roster'!$D:$D,MATCH(B438,'Agent Roster'!$A:$A,0)),"UNASSIGNED")</f>
        <v>9 · Content Hub</v>
      </c>
      <c r="E438" s="19" t="s">
        <v>2754</v>
      </c>
      <c r="F438" s="19" t="s">
        <v>2777</v>
      </c>
      <c r="G438" s="19" t="s">
        <v>1315</v>
      </c>
      <c r="H438" s="19" t="s">
        <v>1247</v>
      </c>
      <c r="I438" s="19" t="s">
        <v>2778</v>
      </c>
      <c r="J438" s="19" t="s">
        <v>2757</v>
      </c>
      <c r="K438" s="19" t="s">
        <v>1355</v>
      </c>
      <c r="L438" s="19" t="s">
        <v>1376</v>
      </c>
      <c r="M438" s="19" t="s">
        <v>1377</v>
      </c>
      <c r="N438" s="19"/>
      <c r="O438" s="19" t="s">
        <v>1321</v>
      </c>
    </row>
    <row r="439" customFormat="false" ht="22.35" hidden="false" customHeight="false" outlineLevel="0" collapsed="false">
      <c r="A439" s="19" t="s">
        <v>2779</v>
      </c>
      <c r="B439" s="19" t="s">
        <v>1123</v>
      </c>
      <c r="C439" s="19" t="str">
        <f aca="false">IFERROR(INDEX('Agent Roster'!$B:$B,MATCH(B439,'Agent Roster'!$A:$A,0)),"UNASSIGNED")</f>
        <v>Customer Service &amp; Support Agent</v>
      </c>
      <c r="D439" s="19" t="str">
        <f aca="false">IFERROR(INDEX('Agent Roster'!$D:$D,MATCH(B439,'Agent Roster'!$A:$A,0)),"UNASSIGNED")</f>
        <v>8 · Client Success Hub</v>
      </c>
      <c r="E439" s="19" t="s">
        <v>2780</v>
      </c>
      <c r="F439" s="19" t="s">
        <v>2781</v>
      </c>
      <c r="G439" s="19" t="s">
        <v>1315</v>
      </c>
      <c r="H439" s="19" t="s">
        <v>1126</v>
      </c>
      <c r="I439" s="19" t="s">
        <v>2782</v>
      </c>
      <c r="J439" s="19" t="s">
        <v>2783</v>
      </c>
      <c r="K439" s="19" t="s">
        <v>1319</v>
      </c>
      <c r="L439" s="19" t="s">
        <v>1320</v>
      </c>
      <c r="M439" s="19" t="s">
        <v>1123</v>
      </c>
      <c r="N439" s="19"/>
      <c r="O439" s="19" t="s">
        <v>1321</v>
      </c>
    </row>
    <row r="440" customFormat="false" ht="22.35" hidden="false" customHeight="false" outlineLevel="0" collapsed="false">
      <c r="A440" s="19" t="s">
        <v>2784</v>
      </c>
      <c r="B440" s="19" t="s">
        <v>1123</v>
      </c>
      <c r="C440" s="19" t="str">
        <f aca="false">IFERROR(INDEX('Agent Roster'!$B:$B,MATCH(B440,'Agent Roster'!$A:$A,0)),"UNASSIGNED")</f>
        <v>Customer Service &amp; Support Agent</v>
      </c>
      <c r="D440" s="19" t="str">
        <f aca="false">IFERROR(INDEX('Agent Roster'!$D:$D,MATCH(B440,'Agent Roster'!$A:$A,0)),"UNASSIGNED")</f>
        <v>8 · Client Success Hub</v>
      </c>
      <c r="E440" s="19" t="s">
        <v>2780</v>
      </c>
      <c r="F440" s="19" t="s">
        <v>2785</v>
      </c>
      <c r="G440" s="19" t="s">
        <v>1315</v>
      </c>
      <c r="H440" s="19" t="s">
        <v>1126</v>
      </c>
      <c r="I440" s="19" t="s">
        <v>2786</v>
      </c>
      <c r="J440" s="19" t="s">
        <v>2783</v>
      </c>
      <c r="K440" s="19" t="s">
        <v>1325</v>
      </c>
      <c r="L440" s="19" t="s">
        <v>1326</v>
      </c>
      <c r="M440" s="19" t="s">
        <v>1123</v>
      </c>
      <c r="N440" s="19"/>
      <c r="O440" s="19" t="s">
        <v>1321</v>
      </c>
    </row>
    <row r="441" customFormat="false" ht="32.8" hidden="false" customHeight="false" outlineLevel="0" collapsed="false">
      <c r="A441" s="19" t="s">
        <v>2787</v>
      </c>
      <c r="B441" s="19" t="s">
        <v>1123</v>
      </c>
      <c r="C441" s="19" t="str">
        <f aca="false">IFERROR(INDEX('Agent Roster'!$B:$B,MATCH(B441,'Agent Roster'!$A:$A,0)),"UNASSIGNED")</f>
        <v>Customer Service &amp; Support Agent</v>
      </c>
      <c r="D441" s="19" t="str">
        <f aca="false">IFERROR(INDEX('Agent Roster'!$D:$D,MATCH(B441,'Agent Roster'!$A:$A,0)),"UNASSIGNED")</f>
        <v>8 · Client Success Hub</v>
      </c>
      <c r="E441" s="19" t="s">
        <v>2780</v>
      </c>
      <c r="F441" s="19" t="s">
        <v>2788</v>
      </c>
      <c r="G441" s="19" t="s">
        <v>1315</v>
      </c>
      <c r="H441" s="19" t="s">
        <v>1126</v>
      </c>
      <c r="I441" s="19" t="s">
        <v>2789</v>
      </c>
      <c r="J441" s="19" t="s">
        <v>2783</v>
      </c>
      <c r="K441" s="19" t="s">
        <v>1330</v>
      </c>
      <c r="L441" s="19" t="s">
        <v>1331</v>
      </c>
      <c r="M441" s="19" t="s">
        <v>1123</v>
      </c>
      <c r="N441" s="19"/>
      <c r="O441" s="19" t="s">
        <v>1321</v>
      </c>
    </row>
    <row r="442" customFormat="false" ht="22.35" hidden="false" customHeight="false" outlineLevel="0" collapsed="false">
      <c r="A442" s="19" t="s">
        <v>2790</v>
      </c>
      <c r="B442" s="19" t="s">
        <v>1123</v>
      </c>
      <c r="C442" s="19" t="str">
        <f aca="false">IFERROR(INDEX('Agent Roster'!$B:$B,MATCH(B442,'Agent Roster'!$A:$A,0)),"UNASSIGNED")</f>
        <v>Customer Service &amp; Support Agent</v>
      </c>
      <c r="D442" s="19" t="str">
        <f aca="false">IFERROR(INDEX('Agent Roster'!$D:$D,MATCH(B442,'Agent Roster'!$A:$A,0)),"UNASSIGNED")</f>
        <v>8 · Client Success Hub</v>
      </c>
      <c r="E442" s="19" t="s">
        <v>2780</v>
      </c>
      <c r="F442" s="19" t="s">
        <v>2791</v>
      </c>
      <c r="G442" s="19" t="s">
        <v>1315</v>
      </c>
      <c r="H442" s="19" t="s">
        <v>1126</v>
      </c>
      <c r="I442" s="19" t="s">
        <v>2792</v>
      </c>
      <c r="J442" s="19" t="s">
        <v>2783</v>
      </c>
      <c r="K442" s="19" t="s">
        <v>1335</v>
      </c>
      <c r="L442" s="19" t="s">
        <v>1336</v>
      </c>
      <c r="M442" s="19" t="s">
        <v>1123</v>
      </c>
      <c r="N442" s="19"/>
      <c r="O442" s="19" t="s">
        <v>1321</v>
      </c>
    </row>
    <row r="443" customFormat="false" ht="22.35" hidden="false" customHeight="false" outlineLevel="0" collapsed="false">
      <c r="A443" s="19" t="s">
        <v>2793</v>
      </c>
      <c r="B443" s="19" t="s">
        <v>1123</v>
      </c>
      <c r="C443" s="19" t="str">
        <f aca="false">IFERROR(INDEX('Agent Roster'!$B:$B,MATCH(B443,'Agent Roster'!$A:$A,0)),"UNASSIGNED")</f>
        <v>Customer Service &amp; Support Agent</v>
      </c>
      <c r="D443" s="19" t="str">
        <f aca="false">IFERROR(INDEX('Agent Roster'!$D:$D,MATCH(B443,'Agent Roster'!$A:$A,0)),"UNASSIGNED")</f>
        <v>8 · Client Success Hub</v>
      </c>
      <c r="E443" s="19" t="s">
        <v>2780</v>
      </c>
      <c r="F443" s="19" t="s">
        <v>2794</v>
      </c>
      <c r="G443" s="19" t="s">
        <v>1315</v>
      </c>
      <c r="H443" s="19" t="s">
        <v>1126</v>
      </c>
      <c r="I443" s="19" t="s">
        <v>2795</v>
      </c>
      <c r="J443" s="19" t="s">
        <v>2783</v>
      </c>
      <c r="K443" s="19" t="s">
        <v>1340</v>
      </c>
      <c r="L443" s="19" t="s">
        <v>1341</v>
      </c>
      <c r="M443" s="19" t="s">
        <v>1123</v>
      </c>
      <c r="N443" s="19"/>
      <c r="O443" s="19" t="s">
        <v>1321</v>
      </c>
    </row>
    <row r="444" customFormat="false" ht="22.35" hidden="false" customHeight="false" outlineLevel="0" collapsed="false">
      <c r="A444" s="19" t="s">
        <v>2796</v>
      </c>
      <c r="B444" s="19" t="s">
        <v>1123</v>
      </c>
      <c r="C444" s="19" t="str">
        <f aca="false">IFERROR(INDEX('Agent Roster'!$B:$B,MATCH(B444,'Agent Roster'!$A:$A,0)),"UNASSIGNED")</f>
        <v>Customer Service &amp; Support Agent</v>
      </c>
      <c r="D444" s="19" t="str">
        <f aca="false">IFERROR(INDEX('Agent Roster'!$D:$D,MATCH(B444,'Agent Roster'!$A:$A,0)),"UNASSIGNED")</f>
        <v>8 · Client Success Hub</v>
      </c>
      <c r="E444" s="19" t="s">
        <v>2780</v>
      </c>
      <c r="F444" s="19" t="s">
        <v>2797</v>
      </c>
      <c r="G444" s="19" t="s">
        <v>1315</v>
      </c>
      <c r="H444" s="19" t="s">
        <v>1126</v>
      </c>
      <c r="I444" s="19" t="s">
        <v>2798</v>
      </c>
      <c r="J444" s="19" t="s">
        <v>2783</v>
      </c>
      <c r="K444" s="19" t="s">
        <v>1345</v>
      </c>
      <c r="L444" s="19" t="s">
        <v>1346</v>
      </c>
      <c r="M444" s="19" t="s">
        <v>1123</v>
      </c>
      <c r="N444" s="19"/>
      <c r="O444" s="19" t="s">
        <v>1321</v>
      </c>
    </row>
    <row r="445" customFormat="false" ht="22.35" hidden="false" customHeight="false" outlineLevel="0" collapsed="false">
      <c r="A445" s="19" t="s">
        <v>2799</v>
      </c>
      <c r="B445" s="19" t="s">
        <v>1123</v>
      </c>
      <c r="C445" s="19" t="str">
        <f aca="false">IFERROR(INDEX('Agent Roster'!$B:$B,MATCH(B445,'Agent Roster'!$A:$A,0)),"UNASSIGNED")</f>
        <v>Customer Service &amp; Support Agent</v>
      </c>
      <c r="D445" s="19" t="str">
        <f aca="false">IFERROR(INDEX('Agent Roster'!$D:$D,MATCH(B445,'Agent Roster'!$A:$A,0)),"UNASSIGNED")</f>
        <v>8 · Client Success Hub</v>
      </c>
      <c r="E445" s="19" t="s">
        <v>2780</v>
      </c>
      <c r="F445" s="19" t="s">
        <v>2800</v>
      </c>
      <c r="G445" s="19" t="s">
        <v>1315</v>
      </c>
      <c r="H445" s="19" t="s">
        <v>1126</v>
      </c>
      <c r="I445" s="19" t="s">
        <v>2801</v>
      </c>
      <c r="J445" s="19" t="s">
        <v>2783</v>
      </c>
      <c r="K445" s="19" t="s">
        <v>1350</v>
      </c>
      <c r="L445" s="19" t="s">
        <v>1351</v>
      </c>
      <c r="M445" s="19" t="s">
        <v>1123</v>
      </c>
      <c r="N445" s="19"/>
      <c r="O445" s="19" t="s">
        <v>1321</v>
      </c>
    </row>
    <row r="446" customFormat="false" ht="22.35" hidden="false" customHeight="false" outlineLevel="0" collapsed="false">
      <c r="A446" s="19" t="s">
        <v>2802</v>
      </c>
      <c r="B446" s="19" t="s">
        <v>1123</v>
      </c>
      <c r="C446" s="19" t="str">
        <f aca="false">IFERROR(INDEX('Agent Roster'!$B:$B,MATCH(B446,'Agent Roster'!$A:$A,0)),"UNASSIGNED")</f>
        <v>Customer Service &amp; Support Agent</v>
      </c>
      <c r="D446" s="19" t="str">
        <f aca="false">IFERROR(INDEX('Agent Roster'!$D:$D,MATCH(B446,'Agent Roster'!$A:$A,0)),"UNASSIGNED")</f>
        <v>8 · Client Success Hub</v>
      </c>
      <c r="E446" s="19" t="s">
        <v>2780</v>
      </c>
      <c r="F446" s="19" t="s">
        <v>2803</v>
      </c>
      <c r="G446" s="19" t="s">
        <v>1315</v>
      </c>
      <c r="H446" s="19" t="s">
        <v>1126</v>
      </c>
      <c r="I446" s="19" t="s">
        <v>2804</v>
      </c>
      <c r="J446" s="19" t="s">
        <v>2783</v>
      </c>
      <c r="K446" s="19" t="s">
        <v>1355</v>
      </c>
      <c r="L446" s="19" t="s">
        <v>1376</v>
      </c>
      <c r="M446" s="19" t="s">
        <v>1377</v>
      </c>
      <c r="N446" s="19"/>
      <c r="O446" s="19" t="s">
        <v>1321</v>
      </c>
    </row>
    <row r="447" customFormat="false" ht="22.35" hidden="false" customHeight="false" outlineLevel="0" collapsed="false">
      <c r="A447" s="19" t="s">
        <v>2805</v>
      </c>
      <c r="B447" s="19" t="s">
        <v>740</v>
      </c>
      <c r="C447" s="19" t="str">
        <f aca="false">IFERROR(INDEX('Agent Roster'!$B:$B,MATCH(B447,'Agent Roster'!$A:$A,0)),"UNASSIGNED")</f>
        <v>Vendor Manager Agent</v>
      </c>
      <c r="D447" s="19" t="str">
        <f aca="false">IFERROR(INDEX('Agent Roster'!$D:$D,MATCH(B447,'Agent Roster'!$A:$A,0)),"UNASSIGNED")</f>
        <v>4 · Operations Hub</v>
      </c>
      <c r="E447" s="19" t="s">
        <v>2806</v>
      </c>
      <c r="F447" s="19" t="s">
        <v>2807</v>
      </c>
      <c r="G447" s="19" t="s">
        <v>1315</v>
      </c>
      <c r="H447" s="19" t="s">
        <v>743</v>
      </c>
      <c r="I447" s="19" t="s">
        <v>2808</v>
      </c>
      <c r="J447" s="19" t="s">
        <v>2809</v>
      </c>
      <c r="K447" s="19" t="s">
        <v>1319</v>
      </c>
      <c r="L447" s="19" t="s">
        <v>1320</v>
      </c>
      <c r="M447" s="19" t="s">
        <v>740</v>
      </c>
      <c r="N447" s="19"/>
      <c r="O447" s="19" t="s">
        <v>1321</v>
      </c>
    </row>
    <row r="448" customFormat="false" ht="22.35" hidden="false" customHeight="false" outlineLevel="0" collapsed="false">
      <c r="A448" s="19" t="s">
        <v>2810</v>
      </c>
      <c r="B448" s="19" t="s">
        <v>740</v>
      </c>
      <c r="C448" s="19" t="str">
        <f aca="false">IFERROR(INDEX('Agent Roster'!$B:$B,MATCH(B448,'Agent Roster'!$A:$A,0)),"UNASSIGNED")</f>
        <v>Vendor Manager Agent</v>
      </c>
      <c r="D448" s="19" t="str">
        <f aca="false">IFERROR(INDEX('Agent Roster'!$D:$D,MATCH(B448,'Agent Roster'!$A:$A,0)),"UNASSIGNED")</f>
        <v>4 · Operations Hub</v>
      </c>
      <c r="E448" s="19" t="s">
        <v>2806</v>
      </c>
      <c r="F448" s="19" t="s">
        <v>2811</v>
      </c>
      <c r="G448" s="19" t="s">
        <v>1315</v>
      </c>
      <c r="H448" s="19" t="s">
        <v>743</v>
      </c>
      <c r="I448" s="19" t="s">
        <v>2812</v>
      </c>
      <c r="J448" s="19" t="s">
        <v>2809</v>
      </c>
      <c r="K448" s="19" t="s">
        <v>1325</v>
      </c>
      <c r="L448" s="19" t="s">
        <v>1326</v>
      </c>
      <c r="M448" s="19" t="s">
        <v>740</v>
      </c>
      <c r="N448" s="19"/>
      <c r="O448" s="19" t="s">
        <v>1321</v>
      </c>
    </row>
    <row r="449" customFormat="false" ht="22.35" hidden="false" customHeight="false" outlineLevel="0" collapsed="false">
      <c r="A449" s="19" t="s">
        <v>2813</v>
      </c>
      <c r="B449" s="19" t="s">
        <v>740</v>
      </c>
      <c r="C449" s="19" t="str">
        <f aca="false">IFERROR(INDEX('Agent Roster'!$B:$B,MATCH(B449,'Agent Roster'!$A:$A,0)),"UNASSIGNED")</f>
        <v>Vendor Manager Agent</v>
      </c>
      <c r="D449" s="19" t="str">
        <f aca="false">IFERROR(INDEX('Agent Roster'!$D:$D,MATCH(B449,'Agent Roster'!$A:$A,0)),"UNASSIGNED")</f>
        <v>4 · Operations Hub</v>
      </c>
      <c r="E449" s="19" t="s">
        <v>2806</v>
      </c>
      <c r="F449" s="19" t="s">
        <v>2814</v>
      </c>
      <c r="G449" s="19" t="s">
        <v>1315</v>
      </c>
      <c r="H449" s="19" t="s">
        <v>743</v>
      </c>
      <c r="I449" s="19" t="s">
        <v>2815</v>
      </c>
      <c r="J449" s="19" t="s">
        <v>2809</v>
      </c>
      <c r="K449" s="19" t="s">
        <v>1330</v>
      </c>
      <c r="L449" s="19" t="s">
        <v>1331</v>
      </c>
      <c r="M449" s="19" t="s">
        <v>740</v>
      </c>
      <c r="N449" s="19"/>
      <c r="O449" s="19" t="s">
        <v>1321</v>
      </c>
    </row>
    <row r="450" customFormat="false" ht="22.35" hidden="false" customHeight="false" outlineLevel="0" collapsed="false">
      <c r="A450" s="19" t="s">
        <v>2816</v>
      </c>
      <c r="B450" s="19" t="s">
        <v>740</v>
      </c>
      <c r="C450" s="19" t="str">
        <f aca="false">IFERROR(INDEX('Agent Roster'!$B:$B,MATCH(B450,'Agent Roster'!$A:$A,0)),"UNASSIGNED")</f>
        <v>Vendor Manager Agent</v>
      </c>
      <c r="D450" s="19" t="str">
        <f aca="false">IFERROR(INDEX('Agent Roster'!$D:$D,MATCH(B450,'Agent Roster'!$A:$A,0)),"UNASSIGNED")</f>
        <v>4 · Operations Hub</v>
      </c>
      <c r="E450" s="19" t="s">
        <v>2806</v>
      </c>
      <c r="F450" s="19" t="s">
        <v>2817</v>
      </c>
      <c r="G450" s="19" t="s">
        <v>1315</v>
      </c>
      <c r="H450" s="19" t="s">
        <v>743</v>
      </c>
      <c r="I450" s="19" t="s">
        <v>2818</v>
      </c>
      <c r="J450" s="19" t="s">
        <v>2809</v>
      </c>
      <c r="K450" s="19" t="s">
        <v>1335</v>
      </c>
      <c r="L450" s="19" t="s">
        <v>1336</v>
      </c>
      <c r="M450" s="19" t="s">
        <v>740</v>
      </c>
      <c r="N450" s="19"/>
      <c r="O450" s="19" t="s">
        <v>1321</v>
      </c>
    </row>
    <row r="451" customFormat="false" ht="22.35" hidden="false" customHeight="false" outlineLevel="0" collapsed="false">
      <c r="A451" s="19" t="s">
        <v>2819</v>
      </c>
      <c r="B451" s="19" t="s">
        <v>740</v>
      </c>
      <c r="C451" s="19" t="str">
        <f aca="false">IFERROR(INDEX('Agent Roster'!$B:$B,MATCH(B451,'Agent Roster'!$A:$A,0)),"UNASSIGNED")</f>
        <v>Vendor Manager Agent</v>
      </c>
      <c r="D451" s="19" t="str">
        <f aca="false">IFERROR(INDEX('Agent Roster'!$D:$D,MATCH(B451,'Agent Roster'!$A:$A,0)),"UNASSIGNED")</f>
        <v>4 · Operations Hub</v>
      </c>
      <c r="E451" s="19" t="s">
        <v>2806</v>
      </c>
      <c r="F451" s="19" t="s">
        <v>2820</v>
      </c>
      <c r="G451" s="19" t="s">
        <v>1315</v>
      </c>
      <c r="H451" s="19" t="s">
        <v>743</v>
      </c>
      <c r="I451" s="19" t="s">
        <v>2821</v>
      </c>
      <c r="J451" s="19" t="s">
        <v>2809</v>
      </c>
      <c r="K451" s="19" t="s">
        <v>1340</v>
      </c>
      <c r="L451" s="19" t="s">
        <v>1341</v>
      </c>
      <c r="M451" s="19" t="s">
        <v>740</v>
      </c>
      <c r="N451" s="19"/>
      <c r="O451" s="19" t="s">
        <v>1321</v>
      </c>
    </row>
    <row r="452" customFormat="false" ht="22.35" hidden="false" customHeight="false" outlineLevel="0" collapsed="false">
      <c r="A452" s="19" t="s">
        <v>2822</v>
      </c>
      <c r="B452" s="19" t="s">
        <v>740</v>
      </c>
      <c r="C452" s="19" t="str">
        <f aca="false">IFERROR(INDEX('Agent Roster'!$B:$B,MATCH(B452,'Agent Roster'!$A:$A,0)),"UNASSIGNED")</f>
        <v>Vendor Manager Agent</v>
      </c>
      <c r="D452" s="19" t="str">
        <f aca="false">IFERROR(INDEX('Agent Roster'!$D:$D,MATCH(B452,'Agent Roster'!$A:$A,0)),"UNASSIGNED")</f>
        <v>4 · Operations Hub</v>
      </c>
      <c r="E452" s="19" t="s">
        <v>2806</v>
      </c>
      <c r="F452" s="19" t="s">
        <v>2823</v>
      </c>
      <c r="G452" s="19" t="s">
        <v>1315</v>
      </c>
      <c r="H452" s="19" t="s">
        <v>743</v>
      </c>
      <c r="I452" s="19" t="s">
        <v>2824</v>
      </c>
      <c r="J452" s="19" t="s">
        <v>2809</v>
      </c>
      <c r="K452" s="19" t="s">
        <v>1345</v>
      </c>
      <c r="L452" s="19" t="s">
        <v>1346</v>
      </c>
      <c r="M452" s="19" t="s">
        <v>740</v>
      </c>
      <c r="N452" s="19"/>
      <c r="O452" s="19" t="s">
        <v>1321</v>
      </c>
    </row>
    <row r="453" customFormat="false" ht="22.35" hidden="false" customHeight="false" outlineLevel="0" collapsed="false">
      <c r="A453" s="19" t="s">
        <v>2825</v>
      </c>
      <c r="B453" s="19" t="s">
        <v>740</v>
      </c>
      <c r="C453" s="19" t="str">
        <f aca="false">IFERROR(INDEX('Agent Roster'!$B:$B,MATCH(B453,'Agent Roster'!$A:$A,0)),"UNASSIGNED")</f>
        <v>Vendor Manager Agent</v>
      </c>
      <c r="D453" s="19" t="str">
        <f aca="false">IFERROR(INDEX('Agent Roster'!$D:$D,MATCH(B453,'Agent Roster'!$A:$A,0)),"UNASSIGNED")</f>
        <v>4 · Operations Hub</v>
      </c>
      <c r="E453" s="19" t="s">
        <v>2806</v>
      </c>
      <c r="F453" s="19" t="s">
        <v>2826</v>
      </c>
      <c r="G453" s="19" t="s">
        <v>1315</v>
      </c>
      <c r="H453" s="19" t="s">
        <v>743</v>
      </c>
      <c r="I453" s="19" t="s">
        <v>2827</v>
      </c>
      <c r="J453" s="19" t="s">
        <v>2809</v>
      </c>
      <c r="K453" s="19" t="s">
        <v>1350</v>
      </c>
      <c r="L453" s="19" t="s">
        <v>1351</v>
      </c>
      <c r="M453" s="19" t="s">
        <v>740</v>
      </c>
      <c r="N453" s="19"/>
      <c r="O453" s="19" t="s">
        <v>1321</v>
      </c>
    </row>
    <row r="454" customFormat="false" ht="22.35" hidden="false" customHeight="false" outlineLevel="0" collapsed="false">
      <c r="A454" s="19" t="s">
        <v>2828</v>
      </c>
      <c r="B454" s="19" t="s">
        <v>740</v>
      </c>
      <c r="C454" s="19" t="str">
        <f aca="false">IFERROR(INDEX('Agent Roster'!$B:$B,MATCH(B454,'Agent Roster'!$A:$A,0)),"UNASSIGNED")</f>
        <v>Vendor Manager Agent</v>
      </c>
      <c r="D454" s="19" t="str">
        <f aca="false">IFERROR(INDEX('Agent Roster'!$D:$D,MATCH(B454,'Agent Roster'!$A:$A,0)),"UNASSIGNED")</f>
        <v>4 · Operations Hub</v>
      </c>
      <c r="E454" s="19" t="s">
        <v>2806</v>
      </c>
      <c r="F454" s="19" t="s">
        <v>2829</v>
      </c>
      <c r="G454" s="19" t="s">
        <v>1315</v>
      </c>
      <c r="H454" s="19" t="s">
        <v>743</v>
      </c>
      <c r="I454" s="19" t="s">
        <v>2830</v>
      </c>
      <c r="J454" s="19" t="s">
        <v>2809</v>
      </c>
      <c r="K454" s="19" t="s">
        <v>1355</v>
      </c>
      <c r="L454" s="19" t="s">
        <v>1376</v>
      </c>
      <c r="M454" s="19" t="s">
        <v>1377</v>
      </c>
      <c r="N454" s="19"/>
      <c r="O454" s="19" t="s">
        <v>1321</v>
      </c>
    </row>
    <row r="455" customFormat="false" ht="22.35" hidden="false" customHeight="false" outlineLevel="0" collapsed="false">
      <c r="A455" s="19" t="s">
        <v>2831</v>
      </c>
      <c r="B455" s="19" t="s">
        <v>464</v>
      </c>
      <c r="C455" s="19" t="str">
        <f aca="false">IFERROR(INDEX('Agent Roster'!$B:$B,MATCH(B455,'Agent Roster'!$A:$A,0)),"UNASSIGNED")</f>
        <v>Innovation &amp; R&amp;D Agent</v>
      </c>
      <c r="D455" s="19" t="str">
        <f aca="false">IFERROR(INDEX('Agent Roster'!$D:$D,MATCH(B455,'Agent Roster'!$A:$A,0)),"UNASSIGNED")</f>
        <v>1 · Strategy Hub</v>
      </c>
      <c r="E455" s="19" t="s">
        <v>2832</v>
      </c>
      <c r="F455" s="19" t="s">
        <v>2833</v>
      </c>
      <c r="G455" s="19" t="s">
        <v>1315</v>
      </c>
      <c r="H455" s="19" t="s">
        <v>467</v>
      </c>
      <c r="I455" s="19" t="s">
        <v>2834</v>
      </c>
      <c r="J455" s="19" t="s">
        <v>2835</v>
      </c>
      <c r="K455" s="19" t="s">
        <v>1319</v>
      </c>
      <c r="L455" s="19" t="s">
        <v>1320</v>
      </c>
      <c r="M455" s="19" t="s">
        <v>464</v>
      </c>
      <c r="N455" s="19"/>
      <c r="O455" s="19" t="s">
        <v>1321</v>
      </c>
    </row>
    <row r="456" customFormat="false" ht="22.35" hidden="false" customHeight="false" outlineLevel="0" collapsed="false">
      <c r="A456" s="19" t="s">
        <v>2836</v>
      </c>
      <c r="B456" s="19" t="s">
        <v>464</v>
      </c>
      <c r="C456" s="19" t="str">
        <f aca="false">IFERROR(INDEX('Agent Roster'!$B:$B,MATCH(B456,'Agent Roster'!$A:$A,0)),"UNASSIGNED")</f>
        <v>Innovation &amp; R&amp;D Agent</v>
      </c>
      <c r="D456" s="19" t="str">
        <f aca="false">IFERROR(INDEX('Agent Roster'!$D:$D,MATCH(B456,'Agent Roster'!$A:$A,0)),"UNASSIGNED")</f>
        <v>1 · Strategy Hub</v>
      </c>
      <c r="E456" s="19" t="s">
        <v>2832</v>
      </c>
      <c r="F456" s="19" t="s">
        <v>2837</v>
      </c>
      <c r="G456" s="19" t="s">
        <v>1315</v>
      </c>
      <c r="H456" s="19" t="s">
        <v>467</v>
      </c>
      <c r="I456" s="19" t="s">
        <v>2838</v>
      </c>
      <c r="J456" s="19" t="s">
        <v>2835</v>
      </c>
      <c r="K456" s="19" t="s">
        <v>1325</v>
      </c>
      <c r="L456" s="19" t="s">
        <v>1326</v>
      </c>
      <c r="M456" s="19" t="s">
        <v>464</v>
      </c>
      <c r="N456" s="19"/>
      <c r="O456" s="19" t="s">
        <v>1321</v>
      </c>
    </row>
    <row r="457" customFormat="false" ht="22.35" hidden="false" customHeight="false" outlineLevel="0" collapsed="false">
      <c r="A457" s="19" t="s">
        <v>2839</v>
      </c>
      <c r="B457" s="19" t="s">
        <v>464</v>
      </c>
      <c r="C457" s="19" t="str">
        <f aca="false">IFERROR(INDEX('Agent Roster'!$B:$B,MATCH(B457,'Agent Roster'!$A:$A,0)),"UNASSIGNED")</f>
        <v>Innovation &amp; R&amp;D Agent</v>
      </c>
      <c r="D457" s="19" t="str">
        <f aca="false">IFERROR(INDEX('Agent Roster'!$D:$D,MATCH(B457,'Agent Roster'!$A:$A,0)),"UNASSIGNED")</f>
        <v>1 · Strategy Hub</v>
      </c>
      <c r="E457" s="19" t="s">
        <v>2832</v>
      </c>
      <c r="F457" s="19" t="s">
        <v>2840</v>
      </c>
      <c r="G457" s="19" t="s">
        <v>1315</v>
      </c>
      <c r="H457" s="19" t="s">
        <v>467</v>
      </c>
      <c r="I457" s="19" t="s">
        <v>2841</v>
      </c>
      <c r="J457" s="19" t="s">
        <v>2835</v>
      </c>
      <c r="K457" s="19" t="s">
        <v>1330</v>
      </c>
      <c r="L457" s="19" t="s">
        <v>1331</v>
      </c>
      <c r="M457" s="19" t="s">
        <v>464</v>
      </c>
      <c r="N457" s="19"/>
      <c r="O457" s="19" t="s">
        <v>1321</v>
      </c>
    </row>
    <row r="458" customFormat="false" ht="22.35" hidden="false" customHeight="false" outlineLevel="0" collapsed="false">
      <c r="A458" s="19" t="s">
        <v>2842</v>
      </c>
      <c r="B458" s="19" t="s">
        <v>464</v>
      </c>
      <c r="C458" s="19" t="str">
        <f aca="false">IFERROR(INDEX('Agent Roster'!$B:$B,MATCH(B458,'Agent Roster'!$A:$A,0)),"UNASSIGNED")</f>
        <v>Innovation &amp; R&amp;D Agent</v>
      </c>
      <c r="D458" s="19" t="str">
        <f aca="false">IFERROR(INDEX('Agent Roster'!$D:$D,MATCH(B458,'Agent Roster'!$A:$A,0)),"UNASSIGNED")</f>
        <v>1 · Strategy Hub</v>
      </c>
      <c r="E458" s="19" t="s">
        <v>2832</v>
      </c>
      <c r="F458" s="19" t="s">
        <v>2843</v>
      </c>
      <c r="G458" s="19" t="s">
        <v>1315</v>
      </c>
      <c r="H458" s="19" t="s">
        <v>467</v>
      </c>
      <c r="I458" s="19" t="s">
        <v>2844</v>
      </c>
      <c r="J458" s="19" t="s">
        <v>2835</v>
      </c>
      <c r="K458" s="19" t="s">
        <v>1335</v>
      </c>
      <c r="L458" s="19" t="s">
        <v>1336</v>
      </c>
      <c r="M458" s="19" t="s">
        <v>464</v>
      </c>
      <c r="N458" s="19"/>
      <c r="O458" s="19" t="s">
        <v>1321</v>
      </c>
    </row>
    <row r="459" customFormat="false" ht="22.35" hidden="false" customHeight="false" outlineLevel="0" collapsed="false">
      <c r="A459" s="19" t="s">
        <v>2845</v>
      </c>
      <c r="B459" s="19" t="s">
        <v>464</v>
      </c>
      <c r="C459" s="19" t="str">
        <f aca="false">IFERROR(INDEX('Agent Roster'!$B:$B,MATCH(B459,'Agent Roster'!$A:$A,0)),"UNASSIGNED")</f>
        <v>Innovation &amp; R&amp;D Agent</v>
      </c>
      <c r="D459" s="19" t="str">
        <f aca="false">IFERROR(INDEX('Agent Roster'!$D:$D,MATCH(B459,'Agent Roster'!$A:$A,0)),"UNASSIGNED")</f>
        <v>1 · Strategy Hub</v>
      </c>
      <c r="E459" s="19" t="s">
        <v>2832</v>
      </c>
      <c r="F459" s="19" t="s">
        <v>2846</v>
      </c>
      <c r="G459" s="19" t="s">
        <v>1315</v>
      </c>
      <c r="H459" s="19" t="s">
        <v>467</v>
      </c>
      <c r="I459" s="19" t="s">
        <v>2847</v>
      </c>
      <c r="J459" s="19" t="s">
        <v>2835</v>
      </c>
      <c r="K459" s="19" t="s">
        <v>1340</v>
      </c>
      <c r="L459" s="19" t="s">
        <v>1341</v>
      </c>
      <c r="M459" s="19" t="s">
        <v>464</v>
      </c>
      <c r="N459" s="19"/>
      <c r="O459" s="19" t="s">
        <v>1321</v>
      </c>
    </row>
    <row r="460" customFormat="false" ht="22.35" hidden="false" customHeight="false" outlineLevel="0" collapsed="false">
      <c r="A460" s="19" t="s">
        <v>2848</v>
      </c>
      <c r="B460" s="19" t="s">
        <v>464</v>
      </c>
      <c r="C460" s="19" t="str">
        <f aca="false">IFERROR(INDEX('Agent Roster'!$B:$B,MATCH(B460,'Agent Roster'!$A:$A,0)),"UNASSIGNED")</f>
        <v>Innovation &amp; R&amp;D Agent</v>
      </c>
      <c r="D460" s="19" t="str">
        <f aca="false">IFERROR(INDEX('Agent Roster'!$D:$D,MATCH(B460,'Agent Roster'!$A:$A,0)),"UNASSIGNED")</f>
        <v>1 · Strategy Hub</v>
      </c>
      <c r="E460" s="19" t="s">
        <v>2832</v>
      </c>
      <c r="F460" s="19" t="s">
        <v>2849</v>
      </c>
      <c r="G460" s="19" t="s">
        <v>1315</v>
      </c>
      <c r="H460" s="19" t="s">
        <v>467</v>
      </c>
      <c r="I460" s="19" t="s">
        <v>2850</v>
      </c>
      <c r="J460" s="19" t="s">
        <v>2835</v>
      </c>
      <c r="K460" s="19" t="s">
        <v>1345</v>
      </c>
      <c r="L460" s="19" t="s">
        <v>1346</v>
      </c>
      <c r="M460" s="19" t="s">
        <v>464</v>
      </c>
      <c r="N460" s="19"/>
      <c r="O460" s="19" t="s">
        <v>1321</v>
      </c>
    </row>
    <row r="461" customFormat="false" ht="22.35" hidden="false" customHeight="false" outlineLevel="0" collapsed="false">
      <c r="A461" s="19" t="s">
        <v>2851</v>
      </c>
      <c r="B461" s="19" t="s">
        <v>464</v>
      </c>
      <c r="C461" s="19" t="str">
        <f aca="false">IFERROR(INDEX('Agent Roster'!$B:$B,MATCH(B461,'Agent Roster'!$A:$A,0)),"UNASSIGNED")</f>
        <v>Innovation &amp; R&amp;D Agent</v>
      </c>
      <c r="D461" s="19" t="str">
        <f aca="false">IFERROR(INDEX('Agent Roster'!$D:$D,MATCH(B461,'Agent Roster'!$A:$A,0)),"UNASSIGNED")</f>
        <v>1 · Strategy Hub</v>
      </c>
      <c r="E461" s="19" t="s">
        <v>2832</v>
      </c>
      <c r="F461" s="19" t="s">
        <v>2852</v>
      </c>
      <c r="G461" s="19" t="s">
        <v>1315</v>
      </c>
      <c r="H461" s="19" t="s">
        <v>467</v>
      </c>
      <c r="I461" s="19" t="s">
        <v>2853</v>
      </c>
      <c r="J461" s="19" t="s">
        <v>2835</v>
      </c>
      <c r="K461" s="19" t="s">
        <v>1350</v>
      </c>
      <c r="L461" s="19" t="s">
        <v>1351</v>
      </c>
      <c r="M461" s="19" t="s">
        <v>464</v>
      </c>
      <c r="N461" s="19"/>
      <c r="O461" s="19" t="s">
        <v>1321</v>
      </c>
    </row>
    <row r="462" customFormat="false" ht="22.35" hidden="false" customHeight="false" outlineLevel="0" collapsed="false">
      <c r="A462" s="19" t="s">
        <v>2854</v>
      </c>
      <c r="B462" s="19" t="s">
        <v>464</v>
      </c>
      <c r="C462" s="19" t="str">
        <f aca="false">IFERROR(INDEX('Agent Roster'!$B:$B,MATCH(B462,'Agent Roster'!$A:$A,0)),"UNASSIGNED")</f>
        <v>Innovation &amp; R&amp;D Agent</v>
      </c>
      <c r="D462" s="19" t="str">
        <f aca="false">IFERROR(INDEX('Agent Roster'!$D:$D,MATCH(B462,'Agent Roster'!$A:$A,0)),"UNASSIGNED")</f>
        <v>1 · Strategy Hub</v>
      </c>
      <c r="E462" s="19" t="s">
        <v>2832</v>
      </c>
      <c r="F462" s="19" t="s">
        <v>2855</v>
      </c>
      <c r="G462" s="19" t="s">
        <v>1315</v>
      </c>
      <c r="H462" s="19" t="s">
        <v>467</v>
      </c>
      <c r="I462" s="19" t="s">
        <v>2856</v>
      </c>
      <c r="J462" s="19" t="s">
        <v>2835</v>
      </c>
      <c r="K462" s="19" t="s">
        <v>1355</v>
      </c>
      <c r="L462" s="19" t="s">
        <v>1356</v>
      </c>
      <c r="M462" s="19" t="s">
        <v>464</v>
      </c>
      <c r="N462" s="19"/>
      <c r="O462" s="19" t="s">
        <v>1321</v>
      </c>
    </row>
    <row r="463" customFormat="false" ht="22.35" hidden="false" customHeight="false" outlineLevel="0" collapsed="false">
      <c r="A463" s="19" t="s">
        <v>2857</v>
      </c>
      <c r="B463" s="19" t="s">
        <v>464</v>
      </c>
      <c r="C463" s="19" t="str">
        <f aca="false">IFERROR(INDEX('Agent Roster'!$B:$B,MATCH(B463,'Agent Roster'!$A:$A,0)),"UNASSIGNED")</f>
        <v>Innovation &amp; R&amp;D Agent</v>
      </c>
      <c r="D463" s="19" t="str">
        <f aca="false">IFERROR(INDEX('Agent Roster'!$D:$D,MATCH(B463,'Agent Roster'!$A:$A,0)),"UNASSIGNED")</f>
        <v>1 · Strategy Hub</v>
      </c>
      <c r="E463" s="19" t="s">
        <v>2832</v>
      </c>
      <c r="F463" s="19" t="s">
        <v>2858</v>
      </c>
      <c r="G463" s="19" t="s">
        <v>1315</v>
      </c>
      <c r="H463" s="19" t="s">
        <v>467</v>
      </c>
      <c r="I463" s="19" t="s">
        <v>2859</v>
      </c>
      <c r="J463" s="19" t="s">
        <v>2835</v>
      </c>
      <c r="K463" s="19" t="s">
        <v>1360</v>
      </c>
      <c r="L463" s="19" t="s">
        <v>1361</v>
      </c>
      <c r="M463" s="19" t="s">
        <v>464</v>
      </c>
      <c r="N463" s="19"/>
      <c r="O463" s="19" t="s">
        <v>1321</v>
      </c>
    </row>
    <row r="464" customFormat="false" ht="22.35" hidden="false" customHeight="false" outlineLevel="0" collapsed="false">
      <c r="A464" s="19" t="s">
        <v>2860</v>
      </c>
      <c r="B464" s="19" t="s">
        <v>464</v>
      </c>
      <c r="C464" s="19" t="str">
        <f aca="false">IFERROR(INDEX('Agent Roster'!$B:$B,MATCH(B464,'Agent Roster'!$A:$A,0)),"UNASSIGNED")</f>
        <v>Innovation &amp; R&amp;D Agent</v>
      </c>
      <c r="D464" s="19" t="str">
        <f aca="false">IFERROR(INDEX('Agent Roster'!$D:$D,MATCH(B464,'Agent Roster'!$A:$A,0)),"UNASSIGNED")</f>
        <v>1 · Strategy Hub</v>
      </c>
      <c r="E464" s="19" t="s">
        <v>2832</v>
      </c>
      <c r="F464" s="19" t="s">
        <v>2861</v>
      </c>
      <c r="G464" s="19" t="s">
        <v>1315</v>
      </c>
      <c r="H464" s="19" t="s">
        <v>467</v>
      </c>
      <c r="I464" s="19" t="s">
        <v>2862</v>
      </c>
      <c r="J464" s="19" t="s">
        <v>2835</v>
      </c>
      <c r="K464" s="19" t="s">
        <v>1365</v>
      </c>
      <c r="L464" s="19" t="s">
        <v>1376</v>
      </c>
      <c r="M464" s="19" t="s">
        <v>1377</v>
      </c>
      <c r="N464" s="19"/>
      <c r="O464" s="19" t="s">
        <v>1321</v>
      </c>
    </row>
    <row r="465" customFormat="false" ht="22.35" hidden="false" customHeight="false" outlineLevel="0" collapsed="false">
      <c r="A465" s="19" t="s">
        <v>2863</v>
      </c>
      <c r="B465" s="19" t="s">
        <v>452</v>
      </c>
      <c r="C465" s="19" t="str">
        <f aca="false">IFERROR(INDEX('Agent Roster'!$B:$B,MATCH(B465,'Agent Roster'!$A:$A,0)),"UNASSIGNED")</f>
        <v>Risk Manager</v>
      </c>
      <c r="D465" s="19" t="str">
        <f aca="false">IFERROR(INDEX('Agent Roster'!$D:$D,MATCH(B465,'Agent Roster'!$A:$A,0)),"UNASSIGNED")</f>
        <v>1 · Strategy Hub</v>
      </c>
      <c r="E465" s="19" t="s">
        <v>2864</v>
      </c>
      <c r="F465" s="19" t="s">
        <v>2865</v>
      </c>
      <c r="G465" s="19" t="s">
        <v>1315</v>
      </c>
      <c r="H465" s="19" t="s">
        <v>455</v>
      </c>
      <c r="I465" s="19" t="s">
        <v>2866</v>
      </c>
      <c r="J465" s="19" t="s">
        <v>1139</v>
      </c>
      <c r="K465" s="19" t="s">
        <v>1319</v>
      </c>
      <c r="L465" s="19" t="s">
        <v>1320</v>
      </c>
      <c r="M465" s="19" t="s">
        <v>452</v>
      </c>
      <c r="N465" s="19"/>
      <c r="O465" s="19" t="s">
        <v>1321</v>
      </c>
    </row>
    <row r="466" customFormat="false" ht="22.35" hidden="false" customHeight="false" outlineLevel="0" collapsed="false">
      <c r="A466" s="19" t="s">
        <v>2867</v>
      </c>
      <c r="B466" s="19" t="s">
        <v>452</v>
      </c>
      <c r="C466" s="19" t="str">
        <f aca="false">IFERROR(INDEX('Agent Roster'!$B:$B,MATCH(B466,'Agent Roster'!$A:$A,0)),"UNASSIGNED")</f>
        <v>Risk Manager</v>
      </c>
      <c r="D466" s="19" t="str">
        <f aca="false">IFERROR(INDEX('Agent Roster'!$D:$D,MATCH(B466,'Agent Roster'!$A:$A,0)),"UNASSIGNED")</f>
        <v>1 · Strategy Hub</v>
      </c>
      <c r="E466" s="19" t="s">
        <v>2864</v>
      </c>
      <c r="F466" s="19" t="s">
        <v>2868</v>
      </c>
      <c r="G466" s="19" t="s">
        <v>1315</v>
      </c>
      <c r="H466" s="19" t="s">
        <v>455</v>
      </c>
      <c r="I466" s="19" t="s">
        <v>2869</v>
      </c>
      <c r="J466" s="19" t="s">
        <v>1139</v>
      </c>
      <c r="K466" s="19" t="s">
        <v>1325</v>
      </c>
      <c r="L466" s="19" t="s">
        <v>1326</v>
      </c>
      <c r="M466" s="19" t="s">
        <v>452</v>
      </c>
      <c r="N466" s="19"/>
      <c r="O466" s="19" t="s">
        <v>1321</v>
      </c>
    </row>
    <row r="467" customFormat="false" ht="22.35" hidden="false" customHeight="false" outlineLevel="0" collapsed="false">
      <c r="A467" s="19" t="s">
        <v>2870</v>
      </c>
      <c r="B467" s="19" t="s">
        <v>452</v>
      </c>
      <c r="C467" s="19" t="str">
        <f aca="false">IFERROR(INDEX('Agent Roster'!$B:$B,MATCH(B467,'Agent Roster'!$A:$A,0)),"UNASSIGNED")</f>
        <v>Risk Manager</v>
      </c>
      <c r="D467" s="19" t="str">
        <f aca="false">IFERROR(INDEX('Agent Roster'!$D:$D,MATCH(B467,'Agent Roster'!$A:$A,0)),"UNASSIGNED")</f>
        <v>1 · Strategy Hub</v>
      </c>
      <c r="E467" s="19" t="s">
        <v>2864</v>
      </c>
      <c r="F467" s="19" t="s">
        <v>2871</v>
      </c>
      <c r="G467" s="19" t="s">
        <v>1315</v>
      </c>
      <c r="H467" s="19" t="s">
        <v>455</v>
      </c>
      <c r="I467" s="19" t="s">
        <v>2872</v>
      </c>
      <c r="J467" s="19" t="s">
        <v>1139</v>
      </c>
      <c r="K467" s="19" t="s">
        <v>1330</v>
      </c>
      <c r="L467" s="19" t="s">
        <v>1331</v>
      </c>
      <c r="M467" s="19" t="s">
        <v>452</v>
      </c>
      <c r="N467" s="19"/>
      <c r="O467" s="19" t="s">
        <v>1321</v>
      </c>
    </row>
    <row r="468" customFormat="false" ht="22.35" hidden="false" customHeight="false" outlineLevel="0" collapsed="false">
      <c r="A468" s="19" t="s">
        <v>2873</v>
      </c>
      <c r="B468" s="19" t="s">
        <v>452</v>
      </c>
      <c r="C468" s="19" t="str">
        <f aca="false">IFERROR(INDEX('Agent Roster'!$B:$B,MATCH(B468,'Agent Roster'!$A:$A,0)),"UNASSIGNED")</f>
        <v>Risk Manager</v>
      </c>
      <c r="D468" s="19" t="str">
        <f aca="false">IFERROR(INDEX('Agent Roster'!$D:$D,MATCH(B468,'Agent Roster'!$A:$A,0)),"UNASSIGNED")</f>
        <v>1 · Strategy Hub</v>
      </c>
      <c r="E468" s="19" t="s">
        <v>2864</v>
      </c>
      <c r="F468" s="19" t="s">
        <v>2874</v>
      </c>
      <c r="G468" s="19" t="s">
        <v>1315</v>
      </c>
      <c r="H468" s="19" t="s">
        <v>455</v>
      </c>
      <c r="I468" s="19" t="s">
        <v>2875</v>
      </c>
      <c r="J468" s="19" t="s">
        <v>1139</v>
      </c>
      <c r="K468" s="19" t="s">
        <v>1335</v>
      </c>
      <c r="L468" s="19" t="s">
        <v>1336</v>
      </c>
      <c r="M468" s="19" t="s">
        <v>452</v>
      </c>
      <c r="N468" s="19"/>
      <c r="O468" s="19" t="s">
        <v>1321</v>
      </c>
    </row>
    <row r="469" customFormat="false" ht="22.35" hidden="false" customHeight="false" outlineLevel="0" collapsed="false">
      <c r="A469" s="19" t="s">
        <v>2876</v>
      </c>
      <c r="B469" s="19" t="s">
        <v>452</v>
      </c>
      <c r="C469" s="19" t="str">
        <f aca="false">IFERROR(INDEX('Agent Roster'!$B:$B,MATCH(B469,'Agent Roster'!$A:$A,0)),"UNASSIGNED")</f>
        <v>Risk Manager</v>
      </c>
      <c r="D469" s="19" t="str">
        <f aca="false">IFERROR(INDEX('Agent Roster'!$D:$D,MATCH(B469,'Agent Roster'!$A:$A,0)),"UNASSIGNED")</f>
        <v>1 · Strategy Hub</v>
      </c>
      <c r="E469" s="19" t="s">
        <v>2864</v>
      </c>
      <c r="F469" s="19" t="s">
        <v>2877</v>
      </c>
      <c r="G469" s="19" t="s">
        <v>1315</v>
      </c>
      <c r="H469" s="19" t="s">
        <v>455</v>
      </c>
      <c r="I469" s="19" t="s">
        <v>2878</v>
      </c>
      <c r="J469" s="19" t="s">
        <v>1139</v>
      </c>
      <c r="K469" s="19" t="s">
        <v>1340</v>
      </c>
      <c r="L469" s="19" t="s">
        <v>1341</v>
      </c>
      <c r="M469" s="19" t="s">
        <v>452</v>
      </c>
      <c r="N469" s="19"/>
      <c r="O469" s="19" t="s">
        <v>1321</v>
      </c>
    </row>
    <row r="470" customFormat="false" ht="22.35" hidden="false" customHeight="false" outlineLevel="0" collapsed="false">
      <c r="A470" s="19" t="s">
        <v>2879</v>
      </c>
      <c r="B470" s="19" t="s">
        <v>452</v>
      </c>
      <c r="C470" s="19" t="str">
        <f aca="false">IFERROR(INDEX('Agent Roster'!$B:$B,MATCH(B470,'Agent Roster'!$A:$A,0)),"UNASSIGNED")</f>
        <v>Risk Manager</v>
      </c>
      <c r="D470" s="19" t="str">
        <f aca="false">IFERROR(INDEX('Agent Roster'!$D:$D,MATCH(B470,'Agent Roster'!$A:$A,0)),"UNASSIGNED")</f>
        <v>1 · Strategy Hub</v>
      </c>
      <c r="E470" s="19" t="s">
        <v>2864</v>
      </c>
      <c r="F470" s="19" t="s">
        <v>2880</v>
      </c>
      <c r="G470" s="19" t="s">
        <v>1315</v>
      </c>
      <c r="H470" s="19" t="s">
        <v>455</v>
      </c>
      <c r="I470" s="19" t="s">
        <v>2881</v>
      </c>
      <c r="J470" s="19" t="s">
        <v>1139</v>
      </c>
      <c r="K470" s="19" t="s">
        <v>1345</v>
      </c>
      <c r="L470" s="19" t="s">
        <v>1346</v>
      </c>
      <c r="M470" s="19" t="s">
        <v>452</v>
      </c>
      <c r="N470" s="19"/>
      <c r="O470" s="19" t="s">
        <v>1321</v>
      </c>
    </row>
    <row r="471" customFormat="false" ht="22.35" hidden="false" customHeight="false" outlineLevel="0" collapsed="false">
      <c r="A471" s="19" t="s">
        <v>2882</v>
      </c>
      <c r="B471" s="19" t="s">
        <v>452</v>
      </c>
      <c r="C471" s="19" t="str">
        <f aca="false">IFERROR(INDEX('Agent Roster'!$B:$B,MATCH(B471,'Agent Roster'!$A:$A,0)),"UNASSIGNED")</f>
        <v>Risk Manager</v>
      </c>
      <c r="D471" s="19" t="str">
        <f aca="false">IFERROR(INDEX('Agent Roster'!$D:$D,MATCH(B471,'Agent Roster'!$A:$A,0)),"UNASSIGNED")</f>
        <v>1 · Strategy Hub</v>
      </c>
      <c r="E471" s="19" t="s">
        <v>2864</v>
      </c>
      <c r="F471" s="19" t="s">
        <v>2883</v>
      </c>
      <c r="G471" s="19" t="s">
        <v>1315</v>
      </c>
      <c r="H471" s="19" t="s">
        <v>455</v>
      </c>
      <c r="I471" s="19" t="s">
        <v>2884</v>
      </c>
      <c r="J471" s="19" t="s">
        <v>1139</v>
      </c>
      <c r="K471" s="19" t="s">
        <v>1350</v>
      </c>
      <c r="L471" s="19" t="s">
        <v>1351</v>
      </c>
      <c r="M471" s="19" t="s">
        <v>452</v>
      </c>
      <c r="N471" s="19"/>
      <c r="O471" s="19" t="s">
        <v>1321</v>
      </c>
    </row>
    <row r="472" customFormat="false" ht="22.35" hidden="false" customHeight="false" outlineLevel="0" collapsed="false">
      <c r="A472" s="19" t="s">
        <v>2885</v>
      </c>
      <c r="B472" s="19" t="s">
        <v>452</v>
      </c>
      <c r="C472" s="19" t="str">
        <f aca="false">IFERROR(INDEX('Agent Roster'!$B:$B,MATCH(B472,'Agent Roster'!$A:$A,0)),"UNASSIGNED")</f>
        <v>Risk Manager</v>
      </c>
      <c r="D472" s="19" t="str">
        <f aca="false">IFERROR(INDEX('Agent Roster'!$D:$D,MATCH(B472,'Agent Roster'!$A:$A,0)),"UNASSIGNED")</f>
        <v>1 · Strategy Hub</v>
      </c>
      <c r="E472" s="19" t="s">
        <v>2864</v>
      </c>
      <c r="F472" s="19" t="s">
        <v>2886</v>
      </c>
      <c r="G472" s="19" t="s">
        <v>1315</v>
      </c>
      <c r="H472" s="19" t="s">
        <v>455</v>
      </c>
      <c r="I472" s="19" t="s">
        <v>2887</v>
      </c>
      <c r="J472" s="19" t="s">
        <v>1139</v>
      </c>
      <c r="K472" s="19" t="s">
        <v>1355</v>
      </c>
      <c r="L472" s="19" t="s">
        <v>1376</v>
      </c>
      <c r="M472" s="19" t="s">
        <v>1377</v>
      </c>
      <c r="N472" s="19"/>
      <c r="O472" s="19" t="s">
        <v>1321</v>
      </c>
    </row>
    <row r="473" customFormat="false" ht="22.35" hidden="false" customHeight="false" outlineLevel="0" collapsed="false">
      <c r="A473" s="19" t="s">
        <v>2888</v>
      </c>
      <c r="B473" s="19" t="s">
        <v>964</v>
      </c>
      <c r="C473" s="19" t="str">
        <f aca="false">IFERROR(INDEX('Agent Roster'!$B:$B,MATCH(B473,'Agent Roster'!$A:$A,0)),"UNASSIGNED")</f>
        <v>Compliance &amp; Legal Strategy Agent</v>
      </c>
      <c r="D473" s="19" t="str">
        <f aca="false">IFERROR(INDEX('Agent Roster'!$D:$D,MATCH(B473,'Agent Roster'!$A:$A,0)),"UNASSIGNED")</f>
        <v>6 · HR &amp; Culture Hub</v>
      </c>
      <c r="E473" s="19" t="s">
        <v>2889</v>
      </c>
      <c r="F473" s="19" t="s">
        <v>2890</v>
      </c>
      <c r="G473" s="19" t="s">
        <v>1315</v>
      </c>
      <c r="H473" s="19" t="s">
        <v>967</v>
      </c>
      <c r="I473" s="19" t="s">
        <v>2891</v>
      </c>
      <c r="J473" s="19" t="s">
        <v>2892</v>
      </c>
      <c r="K473" s="19" t="s">
        <v>1319</v>
      </c>
      <c r="L473" s="19" t="s">
        <v>1320</v>
      </c>
      <c r="M473" s="19" t="s">
        <v>964</v>
      </c>
      <c r="N473" s="19"/>
      <c r="O473" s="19" t="s">
        <v>1321</v>
      </c>
    </row>
    <row r="474" customFormat="false" ht="22.35" hidden="false" customHeight="false" outlineLevel="0" collapsed="false">
      <c r="A474" s="19" t="s">
        <v>2893</v>
      </c>
      <c r="B474" s="19" t="s">
        <v>964</v>
      </c>
      <c r="C474" s="19" t="str">
        <f aca="false">IFERROR(INDEX('Agent Roster'!$B:$B,MATCH(B474,'Agent Roster'!$A:$A,0)),"UNASSIGNED")</f>
        <v>Compliance &amp; Legal Strategy Agent</v>
      </c>
      <c r="D474" s="19" t="str">
        <f aca="false">IFERROR(INDEX('Agent Roster'!$D:$D,MATCH(B474,'Agent Roster'!$A:$A,0)),"UNASSIGNED")</f>
        <v>6 · HR &amp; Culture Hub</v>
      </c>
      <c r="E474" s="19" t="s">
        <v>2889</v>
      </c>
      <c r="F474" s="19" t="s">
        <v>2894</v>
      </c>
      <c r="G474" s="19" t="s">
        <v>1315</v>
      </c>
      <c r="H474" s="19" t="s">
        <v>967</v>
      </c>
      <c r="I474" s="19" t="s">
        <v>2895</v>
      </c>
      <c r="J474" s="19" t="s">
        <v>2892</v>
      </c>
      <c r="K474" s="19" t="s">
        <v>1325</v>
      </c>
      <c r="L474" s="19" t="s">
        <v>1326</v>
      </c>
      <c r="M474" s="19" t="s">
        <v>964</v>
      </c>
      <c r="N474" s="19"/>
      <c r="O474" s="19" t="s">
        <v>1321</v>
      </c>
    </row>
    <row r="475" customFormat="false" ht="22.35" hidden="false" customHeight="false" outlineLevel="0" collapsed="false">
      <c r="A475" s="19" t="s">
        <v>2896</v>
      </c>
      <c r="B475" s="19" t="s">
        <v>964</v>
      </c>
      <c r="C475" s="19" t="str">
        <f aca="false">IFERROR(INDEX('Agent Roster'!$B:$B,MATCH(B475,'Agent Roster'!$A:$A,0)),"UNASSIGNED")</f>
        <v>Compliance &amp; Legal Strategy Agent</v>
      </c>
      <c r="D475" s="19" t="str">
        <f aca="false">IFERROR(INDEX('Agent Roster'!$D:$D,MATCH(B475,'Agent Roster'!$A:$A,0)),"UNASSIGNED")</f>
        <v>6 · HR &amp; Culture Hub</v>
      </c>
      <c r="E475" s="19" t="s">
        <v>2889</v>
      </c>
      <c r="F475" s="19" t="s">
        <v>2897</v>
      </c>
      <c r="G475" s="19" t="s">
        <v>1315</v>
      </c>
      <c r="H475" s="19" t="s">
        <v>967</v>
      </c>
      <c r="I475" s="19" t="s">
        <v>2898</v>
      </c>
      <c r="J475" s="19" t="s">
        <v>2892</v>
      </c>
      <c r="K475" s="19" t="s">
        <v>1330</v>
      </c>
      <c r="L475" s="19" t="s">
        <v>1331</v>
      </c>
      <c r="M475" s="19" t="s">
        <v>964</v>
      </c>
      <c r="N475" s="19"/>
      <c r="O475" s="19" t="s">
        <v>1321</v>
      </c>
    </row>
    <row r="476" customFormat="false" ht="22.35" hidden="false" customHeight="false" outlineLevel="0" collapsed="false">
      <c r="A476" s="19" t="s">
        <v>2899</v>
      </c>
      <c r="B476" s="19" t="s">
        <v>964</v>
      </c>
      <c r="C476" s="19" t="str">
        <f aca="false">IFERROR(INDEX('Agent Roster'!$B:$B,MATCH(B476,'Agent Roster'!$A:$A,0)),"UNASSIGNED")</f>
        <v>Compliance &amp; Legal Strategy Agent</v>
      </c>
      <c r="D476" s="19" t="str">
        <f aca="false">IFERROR(INDEX('Agent Roster'!$D:$D,MATCH(B476,'Agent Roster'!$A:$A,0)),"UNASSIGNED")</f>
        <v>6 · HR &amp; Culture Hub</v>
      </c>
      <c r="E476" s="19" t="s">
        <v>2889</v>
      </c>
      <c r="F476" s="19" t="s">
        <v>2900</v>
      </c>
      <c r="G476" s="19" t="s">
        <v>1315</v>
      </c>
      <c r="H476" s="19" t="s">
        <v>967</v>
      </c>
      <c r="I476" s="19" t="s">
        <v>2901</v>
      </c>
      <c r="J476" s="19" t="s">
        <v>2892</v>
      </c>
      <c r="K476" s="19" t="s">
        <v>1335</v>
      </c>
      <c r="L476" s="19" t="s">
        <v>1336</v>
      </c>
      <c r="M476" s="19" t="s">
        <v>964</v>
      </c>
      <c r="N476" s="19"/>
      <c r="O476" s="19" t="s">
        <v>1321</v>
      </c>
    </row>
    <row r="477" customFormat="false" ht="22.35" hidden="false" customHeight="false" outlineLevel="0" collapsed="false">
      <c r="A477" s="19" t="s">
        <v>2902</v>
      </c>
      <c r="B477" s="19" t="s">
        <v>964</v>
      </c>
      <c r="C477" s="19" t="str">
        <f aca="false">IFERROR(INDEX('Agent Roster'!$B:$B,MATCH(B477,'Agent Roster'!$A:$A,0)),"UNASSIGNED")</f>
        <v>Compliance &amp; Legal Strategy Agent</v>
      </c>
      <c r="D477" s="19" t="str">
        <f aca="false">IFERROR(INDEX('Agent Roster'!$D:$D,MATCH(B477,'Agent Roster'!$A:$A,0)),"UNASSIGNED")</f>
        <v>6 · HR &amp; Culture Hub</v>
      </c>
      <c r="E477" s="19" t="s">
        <v>2889</v>
      </c>
      <c r="F477" s="19" t="s">
        <v>2903</v>
      </c>
      <c r="G477" s="19" t="s">
        <v>1315</v>
      </c>
      <c r="H477" s="19" t="s">
        <v>967</v>
      </c>
      <c r="I477" s="19" t="s">
        <v>2904</v>
      </c>
      <c r="J477" s="19" t="s">
        <v>2892</v>
      </c>
      <c r="K477" s="19" t="s">
        <v>1340</v>
      </c>
      <c r="L477" s="19" t="s">
        <v>1341</v>
      </c>
      <c r="M477" s="19" t="s">
        <v>964</v>
      </c>
      <c r="N477" s="19"/>
      <c r="O477" s="19" t="s">
        <v>1321</v>
      </c>
    </row>
    <row r="478" customFormat="false" ht="22.35" hidden="false" customHeight="false" outlineLevel="0" collapsed="false">
      <c r="A478" s="19" t="s">
        <v>2905</v>
      </c>
      <c r="B478" s="19" t="s">
        <v>964</v>
      </c>
      <c r="C478" s="19" t="str">
        <f aca="false">IFERROR(INDEX('Agent Roster'!$B:$B,MATCH(B478,'Agent Roster'!$A:$A,0)),"UNASSIGNED")</f>
        <v>Compliance &amp; Legal Strategy Agent</v>
      </c>
      <c r="D478" s="19" t="str">
        <f aca="false">IFERROR(INDEX('Agent Roster'!$D:$D,MATCH(B478,'Agent Roster'!$A:$A,0)),"UNASSIGNED")</f>
        <v>6 · HR &amp; Culture Hub</v>
      </c>
      <c r="E478" s="19" t="s">
        <v>2889</v>
      </c>
      <c r="F478" s="19" t="s">
        <v>2906</v>
      </c>
      <c r="G478" s="19" t="s">
        <v>1315</v>
      </c>
      <c r="H478" s="19" t="s">
        <v>967</v>
      </c>
      <c r="I478" s="19" t="s">
        <v>2907</v>
      </c>
      <c r="J478" s="19" t="s">
        <v>2892</v>
      </c>
      <c r="K478" s="19" t="s">
        <v>1345</v>
      </c>
      <c r="L478" s="19" t="s">
        <v>1346</v>
      </c>
      <c r="M478" s="19" t="s">
        <v>964</v>
      </c>
      <c r="N478" s="19"/>
      <c r="O478" s="19" t="s">
        <v>1321</v>
      </c>
    </row>
    <row r="479" customFormat="false" ht="22.35" hidden="false" customHeight="false" outlineLevel="0" collapsed="false">
      <c r="A479" s="19" t="s">
        <v>2908</v>
      </c>
      <c r="B479" s="19" t="s">
        <v>964</v>
      </c>
      <c r="C479" s="19" t="str">
        <f aca="false">IFERROR(INDEX('Agent Roster'!$B:$B,MATCH(B479,'Agent Roster'!$A:$A,0)),"UNASSIGNED")</f>
        <v>Compliance &amp; Legal Strategy Agent</v>
      </c>
      <c r="D479" s="19" t="str">
        <f aca="false">IFERROR(INDEX('Agent Roster'!$D:$D,MATCH(B479,'Agent Roster'!$A:$A,0)),"UNASSIGNED")</f>
        <v>6 · HR &amp; Culture Hub</v>
      </c>
      <c r="E479" s="19" t="s">
        <v>2889</v>
      </c>
      <c r="F479" s="19" t="s">
        <v>2909</v>
      </c>
      <c r="G479" s="19" t="s">
        <v>1315</v>
      </c>
      <c r="H479" s="19" t="s">
        <v>967</v>
      </c>
      <c r="I479" s="19" t="s">
        <v>2910</v>
      </c>
      <c r="J479" s="19" t="s">
        <v>2892</v>
      </c>
      <c r="K479" s="19" t="s">
        <v>1350</v>
      </c>
      <c r="L479" s="19" t="s">
        <v>1351</v>
      </c>
      <c r="M479" s="19" t="s">
        <v>964</v>
      </c>
      <c r="N479" s="19"/>
      <c r="O479" s="19" t="s">
        <v>1321</v>
      </c>
    </row>
    <row r="480" customFormat="false" ht="22.35" hidden="false" customHeight="false" outlineLevel="0" collapsed="false">
      <c r="A480" s="19" t="s">
        <v>2911</v>
      </c>
      <c r="B480" s="19" t="s">
        <v>964</v>
      </c>
      <c r="C480" s="19" t="str">
        <f aca="false">IFERROR(INDEX('Agent Roster'!$B:$B,MATCH(B480,'Agent Roster'!$A:$A,0)),"UNASSIGNED")</f>
        <v>Compliance &amp; Legal Strategy Agent</v>
      </c>
      <c r="D480" s="19" t="str">
        <f aca="false">IFERROR(INDEX('Agent Roster'!$D:$D,MATCH(B480,'Agent Roster'!$A:$A,0)),"UNASSIGNED")</f>
        <v>6 · HR &amp; Culture Hub</v>
      </c>
      <c r="E480" s="19" t="s">
        <v>2889</v>
      </c>
      <c r="F480" s="19" t="s">
        <v>2912</v>
      </c>
      <c r="G480" s="19" t="s">
        <v>1315</v>
      </c>
      <c r="H480" s="19" t="s">
        <v>967</v>
      </c>
      <c r="I480" s="19" t="s">
        <v>2913</v>
      </c>
      <c r="J480" s="19" t="s">
        <v>2892</v>
      </c>
      <c r="K480" s="19" t="s">
        <v>1355</v>
      </c>
      <c r="L480" s="19" t="s">
        <v>1376</v>
      </c>
      <c r="M480" s="19" t="s">
        <v>1377</v>
      </c>
      <c r="N480" s="19"/>
      <c r="O480" s="19" t="s">
        <v>1321</v>
      </c>
    </row>
    <row r="481" customFormat="false" ht="22.35" hidden="false" customHeight="false" outlineLevel="0" collapsed="false">
      <c r="A481" s="19" t="s">
        <v>2914</v>
      </c>
      <c r="B481" s="19" t="s">
        <v>984</v>
      </c>
      <c r="C481" s="19" t="str">
        <f aca="false">IFERROR(INDEX('Agent Roster'!$B:$B,MATCH(B481,'Agent Roster'!$A:$A,0)),"UNASSIGNED")</f>
        <v>Platform Architect</v>
      </c>
      <c r="D481" s="19" t="str">
        <f aca="false">IFERROR(INDEX('Agent Roster'!$D:$D,MATCH(B481,'Agent Roster'!$A:$A,0)),"UNASSIGNED")</f>
        <v>7 · Technology Hub</v>
      </c>
      <c r="E481" s="19" t="s">
        <v>2915</v>
      </c>
      <c r="F481" s="19" t="s">
        <v>2916</v>
      </c>
      <c r="G481" s="19" t="s">
        <v>1315</v>
      </c>
      <c r="H481" s="19" t="s">
        <v>987</v>
      </c>
      <c r="I481" s="19" t="s">
        <v>2917</v>
      </c>
      <c r="J481" s="19" t="s">
        <v>2918</v>
      </c>
      <c r="K481" s="19" t="s">
        <v>1319</v>
      </c>
      <c r="L481" s="19" t="s">
        <v>1320</v>
      </c>
      <c r="M481" s="19" t="s">
        <v>984</v>
      </c>
      <c r="N481" s="19"/>
      <c r="O481" s="19" t="s">
        <v>1321</v>
      </c>
    </row>
    <row r="482" customFormat="false" ht="22.35" hidden="false" customHeight="false" outlineLevel="0" collapsed="false">
      <c r="A482" s="19" t="s">
        <v>2919</v>
      </c>
      <c r="B482" s="19" t="s">
        <v>984</v>
      </c>
      <c r="C482" s="19" t="str">
        <f aca="false">IFERROR(INDEX('Agent Roster'!$B:$B,MATCH(B482,'Agent Roster'!$A:$A,0)),"UNASSIGNED")</f>
        <v>Platform Architect</v>
      </c>
      <c r="D482" s="19" t="str">
        <f aca="false">IFERROR(INDEX('Agent Roster'!$D:$D,MATCH(B482,'Agent Roster'!$A:$A,0)),"UNASSIGNED")</f>
        <v>7 · Technology Hub</v>
      </c>
      <c r="E482" s="19" t="s">
        <v>2915</v>
      </c>
      <c r="F482" s="19" t="s">
        <v>2920</v>
      </c>
      <c r="G482" s="19" t="s">
        <v>1315</v>
      </c>
      <c r="H482" s="19" t="s">
        <v>987</v>
      </c>
      <c r="I482" s="19" t="s">
        <v>2921</v>
      </c>
      <c r="J482" s="19" t="s">
        <v>2918</v>
      </c>
      <c r="K482" s="19" t="s">
        <v>1325</v>
      </c>
      <c r="L482" s="19" t="s">
        <v>1326</v>
      </c>
      <c r="M482" s="19" t="s">
        <v>984</v>
      </c>
      <c r="N482" s="19"/>
      <c r="O482" s="19" t="s">
        <v>1321</v>
      </c>
    </row>
    <row r="483" customFormat="false" ht="22.35" hidden="false" customHeight="false" outlineLevel="0" collapsed="false">
      <c r="A483" s="19" t="s">
        <v>2922</v>
      </c>
      <c r="B483" s="19" t="s">
        <v>984</v>
      </c>
      <c r="C483" s="19" t="str">
        <f aca="false">IFERROR(INDEX('Agent Roster'!$B:$B,MATCH(B483,'Agent Roster'!$A:$A,0)),"UNASSIGNED")</f>
        <v>Platform Architect</v>
      </c>
      <c r="D483" s="19" t="str">
        <f aca="false">IFERROR(INDEX('Agent Roster'!$D:$D,MATCH(B483,'Agent Roster'!$A:$A,0)),"UNASSIGNED")</f>
        <v>7 · Technology Hub</v>
      </c>
      <c r="E483" s="19" t="s">
        <v>2915</v>
      </c>
      <c r="F483" s="19" t="s">
        <v>2923</v>
      </c>
      <c r="G483" s="19" t="s">
        <v>1315</v>
      </c>
      <c r="H483" s="19" t="s">
        <v>987</v>
      </c>
      <c r="I483" s="19" t="s">
        <v>2924</v>
      </c>
      <c r="J483" s="19" t="s">
        <v>2918</v>
      </c>
      <c r="K483" s="19" t="s">
        <v>1330</v>
      </c>
      <c r="L483" s="19" t="s">
        <v>1331</v>
      </c>
      <c r="M483" s="19" t="s">
        <v>984</v>
      </c>
      <c r="N483" s="19"/>
      <c r="O483" s="19" t="s">
        <v>1321</v>
      </c>
    </row>
    <row r="484" customFormat="false" ht="22.35" hidden="false" customHeight="false" outlineLevel="0" collapsed="false">
      <c r="A484" s="19" t="s">
        <v>2925</v>
      </c>
      <c r="B484" s="19" t="s">
        <v>984</v>
      </c>
      <c r="C484" s="19" t="str">
        <f aca="false">IFERROR(INDEX('Agent Roster'!$B:$B,MATCH(B484,'Agent Roster'!$A:$A,0)),"UNASSIGNED")</f>
        <v>Platform Architect</v>
      </c>
      <c r="D484" s="19" t="str">
        <f aca="false">IFERROR(INDEX('Agent Roster'!$D:$D,MATCH(B484,'Agent Roster'!$A:$A,0)),"UNASSIGNED")</f>
        <v>7 · Technology Hub</v>
      </c>
      <c r="E484" s="19" t="s">
        <v>2915</v>
      </c>
      <c r="F484" s="19" t="s">
        <v>2926</v>
      </c>
      <c r="G484" s="19" t="s">
        <v>1315</v>
      </c>
      <c r="H484" s="19" t="s">
        <v>987</v>
      </c>
      <c r="I484" s="19" t="s">
        <v>2927</v>
      </c>
      <c r="J484" s="19" t="s">
        <v>2918</v>
      </c>
      <c r="K484" s="19" t="s">
        <v>1335</v>
      </c>
      <c r="L484" s="19" t="s">
        <v>1336</v>
      </c>
      <c r="M484" s="19" t="s">
        <v>984</v>
      </c>
      <c r="N484" s="19"/>
      <c r="O484" s="19" t="s">
        <v>1321</v>
      </c>
    </row>
    <row r="485" customFormat="false" ht="22.35" hidden="false" customHeight="false" outlineLevel="0" collapsed="false">
      <c r="A485" s="19" t="s">
        <v>2928</v>
      </c>
      <c r="B485" s="19" t="s">
        <v>984</v>
      </c>
      <c r="C485" s="19" t="str">
        <f aca="false">IFERROR(INDEX('Agent Roster'!$B:$B,MATCH(B485,'Agent Roster'!$A:$A,0)),"UNASSIGNED")</f>
        <v>Platform Architect</v>
      </c>
      <c r="D485" s="19" t="str">
        <f aca="false">IFERROR(INDEX('Agent Roster'!$D:$D,MATCH(B485,'Agent Roster'!$A:$A,0)),"UNASSIGNED")</f>
        <v>7 · Technology Hub</v>
      </c>
      <c r="E485" s="19" t="s">
        <v>2915</v>
      </c>
      <c r="F485" s="19" t="s">
        <v>2929</v>
      </c>
      <c r="G485" s="19" t="s">
        <v>1315</v>
      </c>
      <c r="H485" s="19" t="s">
        <v>987</v>
      </c>
      <c r="I485" s="19" t="s">
        <v>2930</v>
      </c>
      <c r="J485" s="19" t="s">
        <v>2918</v>
      </c>
      <c r="K485" s="19" t="s">
        <v>1340</v>
      </c>
      <c r="L485" s="19" t="s">
        <v>1341</v>
      </c>
      <c r="M485" s="19" t="s">
        <v>984</v>
      </c>
      <c r="N485" s="19"/>
      <c r="O485" s="19" t="s">
        <v>1321</v>
      </c>
    </row>
    <row r="486" customFormat="false" ht="22.35" hidden="false" customHeight="false" outlineLevel="0" collapsed="false">
      <c r="A486" s="19" t="s">
        <v>2931</v>
      </c>
      <c r="B486" s="19" t="s">
        <v>984</v>
      </c>
      <c r="C486" s="19" t="str">
        <f aca="false">IFERROR(INDEX('Agent Roster'!$B:$B,MATCH(B486,'Agent Roster'!$A:$A,0)),"UNASSIGNED")</f>
        <v>Platform Architect</v>
      </c>
      <c r="D486" s="19" t="str">
        <f aca="false">IFERROR(INDEX('Agent Roster'!$D:$D,MATCH(B486,'Agent Roster'!$A:$A,0)),"UNASSIGNED")</f>
        <v>7 · Technology Hub</v>
      </c>
      <c r="E486" s="19" t="s">
        <v>2915</v>
      </c>
      <c r="F486" s="19" t="s">
        <v>2932</v>
      </c>
      <c r="G486" s="19" t="s">
        <v>1315</v>
      </c>
      <c r="H486" s="19" t="s">
        <v>987</v>
      </c>
      <c r="I486" s="19" t="s">
        <v>2933</v>
      </c>
      <c r="J486" s="19" t="s">
        <v>2918</v>
      </c>
      <c r="K486" s="19" t="s">
        <v>1345</v>
      </c>
      <c r="L486" s="19" t="s">
        <v>1346</v>
      </c>
      <c r="M486" s="19" t="s">
        <v>984</v>
      </c>
      <c r="N486" s="19"/>
      <c r="O486" s="19" t="s">
        <v>1321</v>
      </c>
    </row>
    <row r="487" customFormat="false" ht="22.35" hidden="false" customHeight="false" outlineLevel="0" collapsed="false">
      <c r="A487" s="19" t="s">
        <v>2934</v>
      </c>
      <c r="B487" s="19" t="s">
        <v>984</v>
      </c>
      <c r="C487" s="19" t="str">
        <f aca="false">IFERROR(INDEX('Agent Roster'!$B:$B,MATCH(B487,'Agent Roster'!$A:$A,0)),"UNASSIGNED")</f>
        <v>Platform Architect</v>
      </c>
      <c r="D487" s="19" t="str">
        <f aca="false">IFERROR(INDEX('Agent Roster'!$D:$D,MATCH(B487,'Agent Roster'!$A:$A,0)),"UNASSIGNED")</f>
        <v>7 · Technology Hub</v>
      </c>
      <c r="E487" s="19" t="s">
        <v>2915</v>
      </c>
      <c r="F487" s="19" t="s">
        <v>2935</v>
      </c>
      <c r="G487" s="19" t="s">
        <v>1315</v>
      </c>
      <c r="H487" s="19" t="s">
        <v>987</v>
      </c>
      <c r="I487" s="19" t="s">
        <v>2936</v>
      </c>
      <c r="J487" s="19" t="s">
        <v>2918</v>
      </c>
      <c r="K487" s="19" t="s">
        <v>1350</v>
      </c>
      <c r="L487" s="19" t="s">
        <v>1351</v>
      </c>
      <c r="M487" s="19" t="s">
        <v>984</v>
      </c>
      <c r="N487" s="19"/>
      <c r="O487" s="19" t="s">
        <v>1321</v>
      </c>
    </row>
    <row r="488" customFormat="false" ht="22.35" hidden="false" customHeight="false" outlineLevel="0" collapsed="false">
      <c r="A488" s="19" t="s">
        <v>2937</v>
      </c>
      <c r="B488" s="19" t="s">
        <v>1025</v>
      </c>
      <c r="C488" s="19" t="str">
        <f aca="false">IFERROR(INDEX('Agent Roster'!$B:$B,MATCH(B488,'Agent Roster'!$A:$A,0)),"UNASSIGNED")</f>
        <v>Monitoring &amp; Observability Agent</v>
      </c>
      <c r="D488" s="19" t="str">
        <f aca="false">IFERROR(INDEX('Agent Roster'!$D:$D,MATCH(B488,'Agent Roster'!$A:$A,0)),"UNASSIGNED")</f>
        <v>7 · Technology Hub</v>
      </c>
      <c r="E488" s="19" t="s">
        <v>2915</v>
      </c>
      <c r="F488" s="19" t="s">
        <v>2938</v>
      </c>
      <c r="G488" s="19" t="s">
        <v>1315</v>
      </c>
      <c r="H488" s="19" t="s">
        <v>987</v>
      </c>
      <c r="I488" s="19" t="s">
        <v>1073</v>
      </c>
      <c r="J488" s="19" t="s">
        <v>2918</v>
      </c>
      <c r="K488" s="19" t="s">
        <v>1355</v>
      </c>
      <c r="L488" s="19" t="s">
        <v>1356</v>
      </c>
      <c r="M488" s="19" t="s">
        <v>1025</v>
      </c>
      <c r="N488" s="19"/>
      <c r="O488" s="19" t="s">
        <v>1321</v>
      </c>
    </row>
    <row r="489" customFormat="false" ht="22.35" hidden="false" customHeight="false" outlineLevel="0" collapsed="false">
      <c r="A489" s="19" t="s">
        <v>2939</v>
      </c>
      <c r="B489" s="19" t="s">
        <v>984</v>
      </c>
      <c r="C489" s="19" t="str">
        <f aca="false">IFERROR(INDEX('Agent Roster'!$B:$B,MATCH(B489,'Agent Roster'!$A:$A,0)),"UNASSIGNED")</f>
        <v>Platform Architect</v>
      </c>
      <c r="D489" s="19" t="str">
        <f aca="false">IFERROR(INDEX('Agent Roster'!$D:$D,MATCH(B489,'Agent Roster'!$A:$A,0)),"UNASSIGNED")</f>
        <v>7 · Technology Hub</v>
      </c>
      <c r="E489" s="19" t="s">
        <v>2915</v>
      </c>
      <c r="F489" s="19" t="s">
        <v>2940</v>
      </c>
      <c r="G489" s="19" t="s">
        <v>1315</v>
      </c>
      <c r="H489" s="19" t="s">
        <v>987</v>
      </c>
      <c r="I489" s="19" t="s">
        <v>2941</v>
      </c>
      <c r="J489" s="19" t="s">
        <v>2918</v>
      </c>
      <c r="K489" s="19" t="s">
        <v>1360</v>
      </c>
      <c r="L489" s="19" t="s">
        <v>1376</v>
      </c>
      <c r="M489" s="19" t="s">
        <v>1377</v>
      </c>
      <c r="N489" s="19"/>
      <c r="O489" s="19" t="s">
        <v>1321</v>
      </c>
    </row>
    <row r="490" customFormat="false" ht="22.35" hidden="false" customHeight="false" outlineLevel="0" collapsed="false">
      <c r="A490" s="19" t="s">
        <v>2942</v>
      </c>
      <c r="B490" s="19" t="s">
        <v>47</v>
      </c>
      <c r="C490" s="19" t="str">
        <f aca="false">IFERROR(INDEX('Agent Roster'!$B:$B,MATCH(B490,'Agent Roster'!$A:$A,0)),"UNASSIGNED")</f>
        <v>Founder / Operator (HUMAN)</v>
      </c>
      <c r="D490" s="19" t="str">
        <f aca="false">IFERROR(INDEX('Agent Roster'!$D:$D,MATCH(B490,'Agent Roster'!$A:$A,0)),"UNASSIGNED")</f>
        <v>Governance &amp; Meta-Tier</v>
      </c>
      <c r="E490" s="19" t="s">
        <v>2943</v>
      </c>
      <c r="F490" s="19" t="s">
        <v>2944</v>
      </c>
      <c r="G490" s="19" t="s">
        <v>1315</v>
      </c>
      <c r="H490" s="19" t="s">
        <v>2945</v>
      </c>
      <c r="I490" s="19" t="s">
        <v>2946</v>
      </c>
      <c r="J490" s="19" t="s">
        <v>51</v>
      </c>
      <c r="K490" s="19" t="s">
        <v>1319</v>
      </c>
      <c r="L490" s="19" t="s">
        <v>1320</v>
      </c>
      <c r="M490" s="19" t="s">
        <v>47</v>
      </c>
      <c r="N490" s="19" t="s">
        <v>1657</v>
      </c>
      <c r="O490" s="19" t="s">
        <v>2060</v>
      </c>
    </row>
    <row r="491" customFormat="false" ht="22.35" hidden="false" customHeight="false" outlineLevel="0" collapsed="false">
      <c r="A491" s="19" t="s">
        <v>2947</v>
      </c>
      <c r="B491" s="19" t="s">
        <v>47</v>
      </c>
      <c r="C491" s="19" t="str">
        <f aca="false">IFERROR(INDEX('Agent Roster'!$B:$B,MATCH(B491,'Agent Roster'!$A:$A,0)),"UNASSIGNED")</f>
        <v>Founder / Operator (HUMAN)</v>
      </c>
      <c r="D491" s="19" t="str">
        <f aca="false">IFERROR(INDEX('Agent Roster'!$D:$D,MATCH(B491,'Agent Roster'!$A:$A,0)),"UNASSIGNED")</f>
        <v>Governance &amp; Meta-Tier</v>
      </c>
      <c r="E491" s="19" t="s">
        <v>2943</v>
      </c>
      <c r="F491" s="19" t="s">
        <v>2948</v>
      </c>
      <c r="G491" s="19" t="s">
        <v>1315</v>
      </c>
      <c r="H491" s="19" t="s">
        <v>2945</v>
      </c>
      <c r="I491" s="19" t="s">
        <v>2949</v>
      </c>
      <c r="J491" s="19" t="s">
        <v>51</v>
      </c>
      <c r="K491" s="19" t="s">
        <v>1325</v>
      </c>
      <c r="L491" s="19" t="s">
        <v>1326</v>
      </c>
      <c r="M491" s="19" t="s">
        <v>47</v>
      </c>
      <c r="N491" s="19" t="s">
        <v>1657</v>
      </c>
      <c r="O491" s="19" t="s">
        <v>2060</v>
      </c>
    </row>
    <row r="492" customFormat="false" ht="22.35" hidden="false" customHeight="false" outlineLevel="0" collapsed="false">
      <c r="A492" s="19" t="s">
        <v>2950</v>
      </c>
      <c r="B492" s="19" t="s">
        <v>47</v>
      </c>
      <c r="C492" s="19" t="str">
        <f aca="false">IFERROR(INDEX('Agent Roster'!$B:$B,MATCH(B492,'Agent Roster'!$A:$A,0)),"UNASSIGNED")</f>
        <v>Founder / Operator (HUMAN)</v>
      </c>
      <c r="D492" s="19" t="str">
        <f aca="false">IFERROR(INDEX('Agent Roster'!$D:$D,MATCH(B492,'Agent Roster'!$A:$A,0)),"UNASSIGNED")</f>
        <v>Governance &amp; Meta-Tier</v>
      </c>
      <c r="E492" s="19" t="s">
        <v>2943</v>
      </c>
      <c r="F492" s="19" t="s">
        <v>2951</v>
      </c>
      <c r="G492" s="19" t="s">
        <v>1315</v>
      </c>
      <c r="H492" s="19" t="s">
        <v>2945</v>
      </c>
      <c r="I492" s="19" t="s">
        <v>2952</v>
      </c>
      <c r="J492" s="19" t="s">
        <v>51</v>
      </c>
      <c r="K492" s="19" t="s">
        <v>1330</v>
      </c>
      <c r="L492" s="19" t="s">
        <v>1331</v>
      </c>
      <c r="M492" s="19" t="s">
        <v>47</v>
      </c>
      <c r="N492" s="19" t="s">
        <v>1657</v>
      </c>
      <c r="O492" s="19" t="s">
        <v>2060</v>
      </c>
    </row>
    <row r="493" customFormat="false" ht="22.35" hidden="false" customHeight="false" outlineLevel="0" collapsed="false">
      <c r="A493" s="19" t="s">
        <v>2953</v>
      </c>
      <c r="B493" s="19" t="s">
        <v>47</v>
      </c>
      <c r="C493" s="19" t="str">
        <f aca="false">IFERROR(INDEX('Agent Roster'!$B:$B,MATCH(B493,'Agent Roster'!$A:$A,0)),"UNASSIGNED")</f>
        <v>Founder / Operator (HUMAN)</v>
      </c>
      <c r="D493" s="19" t="str">
        <f aca="false">IFERROR(INDEX('Agent Roster'!$D:$D,MATCH(B493,'Agent Roster'!$A:$A,0)),"UNASSIGNED")</f>
        <v>Governance &amp; Meta-Tier</v>
      </c>
      <c r="E493" s="19" t="s">
        <v>2943</v>
      </c>
      <c r="F493" s="19" t="s">
        <v>2954</v>
      </c>
      <c r="G493" s="19" t="s">
        <v>1315</v>
      </c>
      <c r="H493" s="19" t="s">
        <v>2945</v>
      </c>
      <c r="I493" s="19" t="s">
        <v>2955</v>
      </c>
      <c r="J493" s="19" t="s">
        <v>51</v>
      </c>
      <c r="K493" s="19" t="s">
        <v>1335</v>
      </c>
      <c r="L493" s="19" t="s">
        <v>1336</v>
      </c>
      <c r="M493" s="19" t="s">
        <v>47</v>
      </c>
      <c r="N493" s="19" t="s">
        <v>1657</v>
      </c>
      <c r="O493" s="19" t="s">
        <v>2060</v>
      </c>
    </row>
    <row r="494" customFormat="false" ht="22.35" hidden="false" customHeight="false" outlineLevel="0" collapsed="false">
      <c r="A494" s="19" t="s">
        <v>2956</v>
      </c>
      <c r="B494" s="19" t="s">
        <v>47</v>
      </c>
      <c r="C494" s="19" t="str">
        <f aca="false">IFERROR(INDEX('Agent Roster'!$B:$B,MATCH(B494,'Agent Roster'!$A:$A,0)),"UNASSIGNED")</f>
        <v>Founder / Operator (HUMAN)</v>
      </c>
      <c r="D494" s="19" t="str">
        <f aca="false">IFERROR(INDEX('Agent Roster'!$D:$D,MATCH(B494,'Agent Roster'!$A:$A,0)),"UNASSIGNED")</f>
        <v>Governance &amp; Meta-Tier</v>
      </c>
      <c r="E494" s="19" t="s">
        <v>2943</v>
      </c>
      <c r="F494" s="19" t="s">
        <v>2957</v>
      </c>
      <c r="G494" s="19" t="s">
        <v>1315</v>
      </c>
      <c r="H494" s="19" t="s">
        <v>2945</v>
      </c>
      <c r="I494" s="19" t="s">
        <v>2958</v>
      </c>
      <c r="J494" s="19" t="s">
        <v>51</v>
      </c>
      <c r="K494" s="19" t="s">
        <v>1340</v>
      </c>
      <c r="L494" s="19" t="s">
        <v>1341</v>
      </c>
      <c r="M494" s="19" t="s">
        <v>47</v>
      </c>
      <c r="N494" s="19" t="s">
        <v>1657</v>
      </c>
      <c r="O494" s="19" t="s">
        <v>2060</v>
      </c>
    </row>
    <row r="495" customFormat="false" ht="22.35" hidden="false" customHeight="false" outlineLevel="0" collapsed="false">
      <c r="A495" s="19" t="s">
        <v>2959</v>
      </c>
      <c r="B495" s="19" t="s">
        <v>47</v>
      </c>
      <c r="C495" s="19" t="str">
        <f aca="false">IFERROR(INDEX('Agent Roster'!$B:$B,MATCH(B495,'Agent Roster'!$A:$A,0)),"UNASSIGNED")</f>
        <v>Founder / Operator (HUMAN)</v>
      </c>
      <c r="D495" s="19" t="str">
        <f aca="false">IFERROR(INDEX('Agent Roster'!$D:$D,MATCH(B495,'Agent Roster'!$A:$A,0)),"UNASSIGNED")</f>
        <v>Governance &amp; Meta-Tier</v>
      </c>
      <c r="E495" s="19" t="s">
        <v>2943</v>
      </c>
      <c r="F495" s="19" t="s">
        <v>2960</v>
      </c>
      <c r="G495" s="19" t="s">
        <v>1315</v>
      </c>
      <c r="H495" s="19" t="s">
        <v>2945</v>
      </c>
      <c r="I495" s="19" t="s">
        <v>2961</v>
      </c>
      <c r="J495" s="19" t="s">
        <v>51</v>
      </c>
      <c r="K495" s="19" t="s">
        <v>1345</v>
      </c>
      <c r="L495" s="19" t="s">
        <v>1346</v>
      </c>
      <c r="M495" s="19" t="s">
        <v>47</v>
      </c>
      <c r="N495" s="19" t="s">
        <v>1657</v>
      </c>
      <c r="O495" s="19" t="s">
        <v>2060</v>
      </c>
    </row>
    <row r="496" customFormat="false" ht="22.35" hidden="false" customHeight="false" outlineLevel="0" collapsed="false">
      <c r="A496" s="19" t="s">
        <v>2962</v>
      </c>
      <c r="B496" s="19" t="s">
        <v>47</v>
      </c>
      <c r="C496" s="19" t="str">
        <f aca="false">IFERROR(INDEX('Agent Roster'!$B:$B,MATCH(B496,'Agent Roster'!$A:$A,0)),"UNASSIGNED")</f>
        <v>Founder / Operator (HUMAN)</v>
      </c>
      <c r="D496" s="19" t="str">
        <f aca="false">IFERROR(INDEX('Agent Roster'!$D:$D,MATCH(B496,'Agent Roster'!$A:$A,0)),"UNASSIGNED")</f>
        <v>Governance &amp; Meta-Tier</v>
      </c>
      <c r="E496" s="19" t="s">
        <v>2943</v>
      </c>
      <c r="F496" s="19" t="s">
        <v>2963</v>
      </c>
      <c r="G496" s="19" t="s">
        <v>1315</v>
      </c>
      <c r="H496" s="19" t="s">
        <v>2945</v>
      </c>
      <c r="I496" s="19" t="s">
        <v>2964</v>
      </c>
      <c r="J496" s="19" t="s">
        <v>51</v>
      </c>
      <c r="K496" s="19" t="s">
        <v>1350</v>
      </c>
      <c r="L496" s="19" t="s">
        <v>1351</v>
      </c>
      <c r="M496" s="19" t="s">
        <v>47</v>
      </c>
      <c r="N496" s="19" t="s">
        <v>1657</v>
      </c>
      <c r="O496" s="19" t="s">
        <v>2060</v>
      </c>
    </row>
    <row r="497" customFormat="false" ht="22.35" hidden="false" customHeight="false" outlineLevel="0" collapsed="false">
      <c r="A497" s="19" t="s">
        <v>2965</v>
      </c>
      <c r="B497" s="19" t="s">
        <v>47</v>
      </c>
      <c r="C497" s="19" t="str">
        <f aca="false">IFERROR(INDEX('Agent Roster'!$B:$B,MATCH(B497,'Agent Roster'!$A:$A,0)),"UNASSIGNED")</f>
        <v>Founder / Operator (HUMAN)</v>
      </c>
      <c r="D497" s="19" t="str">
        <f aca="false">IFERROR(INDEX('Agent Roster'!$D:$D,MATCH(B497,'Agent Roster'!$A:$A,0)),"UNASSIGNED")</f>
        <v>Governance &amp; Meta-Tier</v>
      </c>
      <c r="E497" s="19" t="s">
        <v>2943</v>
      </c>
      <c r="F497" s="19" t="s">
        <v>2966</v>
      </c>
      <c r="G497" s="19" t="s">
        <v>1315</v>
      </c>
      <c r="H497" s="19" t="s">
        <v>2945</v>
      </c>
      <c r="I497" s="19" t="s">
        <v>2967</v>
      </c>
      <c r="J497" s="19" t="s">
        <v>51</v>
      </c>
      <c r="K497" s="19" t="s">
        <v>1355</v>
      </c>
      <c r="L497" s="19" t="s">
        <v>1356</v>
      </c>
      <c r="M497" s="19" t="s">
        <v>47</v>
      </c>
      <c r="N497" s="19" t="s">
        <v>1657</v>
      </c>
      <c r="O497" s="19" t="s">
        <v>2060</v>
      </c>
    </row>
    <row r="498" customFormat="false" ht="22.35" hidden="false" customHeight="false" outlineLevel="0" collapsed="false">
      <c r="A498" s="19" t="s">
        <v>2968</v>
      </c>
      <c r="B498" s="19" t="s">
        <v>47</v>
      </c>
      <c r="C498" s="19" t="str">
        <f aca="false">IFERROR(INDEX('Agent Roster'!$B:$B,MATCH(B498,'Agent Roster'!$A:$A,0)),"UNASSIGNED")</f>
        <v>Founder / Operator (HUMAN)</v>
      </c>
      <c r="D498" s="19" t="str">
        <f aca="false">IFERROR(INDEX('Agent Roster'!$D:$D,MATCH(B498,'Agent Roster'!$A:$A,0)),"UNASSIGNED")</f>
        <v>Governance &amp; Meta-Tier</v>
      </c>
      <c r="E498" s="19" t="s">
        <v>2943</v>
      </c>
      <c r="F498" s="19" t="s">
        <v>2969</v>
      </c>
      <c r="G498" s="19" t="s">
        <v>1315</v>
      </c>
      <c r="H498" s="19" t="s">
        <v>2945</v>
      </c>
      <c r="I498" s="19" t="s">
        <v>2970</v>
      </c>
      <c r="J498" s="19" t="s">
        <v>51</v>
      </c>
      <c r="K498" s="19" t="s">
        <v>1360</v>
      </c>
      <c r="L498" s="19" t="s">
        <v>1361</v>
      </c>
      <c r="M498" s="19" t="s">
        <v>47</v>
      </c>
      <c r="N498" s="19" t="s">
        <v>1657</v>
      </c>
      <c r="O498" s="19" t="s">
        <v>2060</v>
      </c>
    </row>
    <row r="499" customFormat="false" ht="22.35" hidden="false" customHeight="false" outlineLevel="0" collapsed="false">
      <c r="A499" s="19" t="s">
        <v>2971</v>
      </c>
      <c r="B499" s="19" t="s">
        <v>47</v>
      </c>
      <c r="C499" s="19" t="str">
        <f aca="false">IFERROR(INDEX('Agent Roster'!$B:$B,MATCH(B499,'Agent Roster'!$A:$A,0)),"UNASSIGNED")</f>
        <v>Founder / Operator (HUMAN)</v>
      </c>
      <c r="D499" s="19" t="str">
        <f aca="false">IFERROR(INDEX('Agent Roster'!$D:$D,MATCH(B499,'Agent Roster'!$A:$A,0)),"UNASSIGNED")</f>
        <v>Governance &amp; Meta-Tier</v>
      </c>
      <c r="E499" s="19" t="s">
        <v>2943</v>
      </c>
      <c r="F499" s="19" t="s">
        <v>2972</v>
      </c>
      <c r="G499" s="19" t="s">
        <v>1315</v>
      </c>
      <c r="H499" s="19" t="s">
        <v>2945</v>
      </c>
      <c r="I499" s="19" t="s">
        <v>2973</v>
      </c>
      <c r="J499" s="19" t="s">
        <v>51</v>
      </c>
      <c r="K499" s="19" t="s">
        <v>1365</v>
      </c>
      <c r="L499" s="19" t="s">
        <v>1376</v>
      </c>
      <c r="M499" s="19" t="s">
        <v>1377</v>
      </c>
      <c r="N499" s="19" t="s">
        <v>1657</v>
      </c>
      <c r="O499" s="19" t="s">
        <v>2060</v>
      </c>
    </row>
    <row r="500" customFormat="false" ht="22.35" hidden="false" customHeight="false" outlineLevel="0" collapsed="false">
      <c r="A500" s="19" t="s">
        <v>2974</v>
      </c>
      <c r="B500" s="19" t="s">
        <v>137</v>
      </c>
      <c r="C500" s="19" t="str">
        <f aca="false">IFERROR(INDEX('Agent Roster'!$B:$B,MATCH(B500,'Agent Roster'!$A:$A,0)),"UNASSIGNED")</f>
        <v>Founder Performance Agent</v>
      </c>
      <c r="D500" s="19" t="str">
        <f aca="false">IFERROR(INDEX('Agent Roster'!$D:$D,MATCH(B500,'Agent Roster'!$A:$A,0)),"UNASSIGNED")</f>
        <v>Governance &amp; Meta-Tier</v>
      </c>
      <c r="E500" s="19" t="s">
        <v>2975</v>
      </c>
      <c r="F500" s="19" t="s">
        <v>2976</v>
      </c>
      <c r="G500" s="19" t="s">
        <v>1315</v>
      </c>
      <c r="H500" s="19" t="s">
        <v>2977</v>
      </c>
      <c r="I500" s="19" t="s">
        <v>2978</v>
      </c>
      <c r="J500" s="19" t="s">
        <v>690</v>
      </c>
      <c r="K500" s="19" t="s">
        <v>1319</v>
      </c>
      <c r="L500" s="19" t="s">
        <v>1320</v>
      </c>
      <c r="M500" s="19" t="s">
        <v>137</v>
      </c>
      <c r="N500" s="19"/>
      <c r="O500" s="19" t="s">
        <v>1321</v>
      </c>
    </row>
    <row r="501" customFormat="false" ht="22.35" hidden="false" customHeight="false" outlineLevel="0" collapsed="false">
      <c r="A501" s="19" t="s">
        <v>2979</v>
      </c>
      <c r="B501" s="19" t="s">
        <v>137</v>
      </c>
      <c r="C501" s="19" t="str">
        <f aca="false">IFERROR(INDEX('Agent Roster'!$B:$B,MATCH(B501,'Agent Roster'!$A:$A,0)),"UNASSIGNED")</f>
        <v>Founder Performance Agent</v>
      </c>
      <c r="D501" s="19" t="str">
        <f aca="false">IFERROR(INDEX('Agent Roster'!$D:$D,MATCH(B501,'Agent Roster'!$A:$A,0)),"UNASSIGNED")</f>
        <v>Governance &amp; Meta-Tier</v>
      </c>
      <c r="E501" s="19" t="s">
        <v>2975</v>
      </c>
      <c r="F501" s="19" t="s">
        <v>2980</v>
      </c>
      <c r="G501" s="19" t="s">
        <v>1315</v>
      </c>
      <c r="H501" s="19" t="s">
        <v>2977</v>
      </c>
      <c r="I501" s="19" t="s">
        <v>2981</v>
      </c>
      <c r="J501" s="19" t="s">
        <v>690</v>
      </c>
      <c r="K501" s="19" t="s">
        <v>1325</v>
      </c>
      <c r="L501" s="19" t="s">
        <v>1326</v>
      </c>
      <c r="M501" s="19" t="s">
        <v>137</v>
      </c>
      <c r="N501" s="19"/>
      <c r="O501" s="19" t="s">
        <v>1321</v>
      </c>
    </row>
    <row r="502" customFormat="false" ht="32.8" hidden="false" customHeight="false" outlineLevel="0" collapsed="false">
      <c r="A502" s="19" t="s">
        <v>2982</v>
      </c>
      <c r="B502" s="19" t="s">
        <v>137</v>
      </c>
      <c r="C502" s="19" t="str">
        <f aca="false">IFERROR(INDEX('Agent Roster'!$B:$B,MATCH(B502,'Agent Roster'!$A:$A,0)),"UNASSIGNED")</f>
        <v>Founder Performance Agent</v>
      </c>
      <c r="D502" s="19" t="str">
        <f aca="false">IFERROR(INDEX('Agent Roster'!$D:$D,MATCH(B502,'Agent Roster'!$A:$A,0)),"UNASSIGNED")</f>
        <v>Governance &amp; Meta-Tier</v>
      </c>
      <c r="E502" s="19" t="s">
        <v>2975</v>
      </c>
      <c r="F502" s="19" t="s">
        <v>2983</v>
      </c>
      <c r="G502" s="19" t="s">
        <v>1315</v>
      </c>
      <c r="H502" s="19" t="s">
        <v>2977</v>
      </c>
      <c r="I502" s="19" t="s">
        <v>2984</v>
      </c>
      <c r="J502" s="19" t="s">
        <v>690</v>
      </c>
      <c r="K502" s="19" t="s">
        <v>1330</v>
      </c>
      <c r="L502" s="19" t="s">
        <v>1331</v>
      </c>
      <c r="M502" s="19" t="s">
        <v>137</v>
      </c>
      <c r="N502" s="19"/>
      <c r="O502" s="19" t="s">
        <v>1321</v>
      </c>
    </row>
    <row r="503" customFormat="false" ht="22.35" hidden="false" customHeight="false" outlineLevel="0" collapsed="false">
      <c r="A503" s="19" t="s">
        <v>2985</v>
      </c>
      <c r="B503" s="19" t="s">
        <v>137</v>
      </c>
      <c r="C503" s="19" t="str">
        <f aca="false">IFERROR(INDEX('Agent Roster'!$B:$B,MATCH(B503,'Agent Roster'!$A:$A,0)),"UNASSIGNED")</f>
        <v>Founder Performance Agent</v>
      </c>
      <c r="D503" s="19" t="str">
        <f aca="false">IFERROR(INDEX('Agent Roster'!$D:$D,MATCH(B503,'Agent Roster'!$A:$A,0)),"UNASSIGNED")</f>
        <v>Governance &amp; Meta-Tier</v>
      </c>
      <c r="E503" s="19" t="s">
        <v>2975</v>
      </c>
      <c r="F503" s="19" t="s">
        <v>2986</v>
      </c>
      <c r="G503" s="19" t="s">
        <v>1315</v>
      </c>
      <c r="H503" s="19" t="s">
        <v>2977</v>
      </c>
      <c r="I503" s="19" t="s">
        <v>2987</v>
      </c>
      <c r="J503" s="19" t="s">
        <v>690</v>
      </c>
      <c r="K503" s="19" t="s">
        <v>1335</v>
      </c>
      <c r="L503" s="19" t="s">
        <v>1336</v>
      </c>
      <c r="M503" s="19" t="s">
        <v>137</v>
      </c>
      <c r="N503" s="19"/>
      <c r="O503" s="19" t="s">
        <v>1321</v>
      </c>
    </row>
    <row r="504" customFormat="false" ht="22.35" hidden="false" customHeight="false" outlineLevel="0" collapsed="false">
      <c r="A504" s="19" t="s">
        <v>2988</v>
      </c>
      <c r="B504" s="19" t="s">
        <v>137</v>
      </c>
      <c r="C504" s="19" t="str">
        <f aca="false">IFERROR(INDEX('Agent Roster'!$B:$B,MATCH(B504,'Agent Roster'!$A:$A,0)),"UNASSIGNED")</f>
        <v>Founder Performance Agent</v>
      </c>
      <c r="D504" s="19" t="str">
        <f aca="false">IFERROR(INDEX('Agent Roster'!$D:$D,MATCH(B504,'Agent Roster'!$A:$A,0)),"UNASSIGNED")</f>
        <v>Governance &amp; Meta-Tier</v>
      </c>
      <c r="E504" s="19" t="s">
        <v>2975</v>
      </c>
      <c r="F504" s="19" t="s">
        <v>2989</v>
      </c>
      <c r="G504" s="19" t="s">
        <v>1315</v>
      </c>
      <c r="H504" s="19" t="s">
        <v>2977</v>
      </c>
      <c r="I504" s="19" t="s">
        <v>2990</v>
      </c>
      <c r="J504" s="19" t="s">
        <v>690</v>
      </c>
      <c r="K504" s="19" t="s">
        <v>1340</v>
      </c>
      <c r="L504" s="19" t="s">
        <v>1341</v>
      </c>
      <c r="M504" s="19" t="s">
        <v>137</v>
      </c>
      <c r="N504" s="19"/>
      <c r="O504" s="19" t="s">
        <v>1321</v>
      </c>
    </row>
    <row r="505" customFormat="false" ht="22.35" hidden="false" customHeight="false" outlineLevel="0" collapsed="false">
      <c r="A505" s="19" t="s">
        <v>2991</v>
      </c>
      <c r="B505" s="19" t="s">
        <v>137</v>
      </c>
      <c r="C505" s="19" t="str">
        <f aca="false">IFERROR(INDEX('Agent Roster'!$B:$B,MATCH(B505,'Agent Roster'!$A:$A,0)),"UNASSIGNED")</f>
        <v>Founder Performance Agent</v>
      </c>
      <c r="D505" s="19" t="str">
        <f aca="false">IFERROR(INDEX('Agent Roster'!$D:$D,MATCH(B505,'Agent Roster'!$A:$A,0)),"UNASSIGNED")</f>
        <v>Governance &amp; Meta-Tier</v>
      </c>
      <c r="E505" s="19" t="s">
        <v>2975</v>
      </c>
      <c r="F505" s="19" t="s">
        <v>2992</v>
      </c>
      <c r="G505" s="19" t="s">
        <v>1315</v>
      </c>
      <c r="H505" s="19" t="s">
        <v>2977</v>
      </c>
      <c r="I505" s="19" t="s">
        <v>2993</v>
      </c>
      <c r="J505" s="19" t="s">
        <v>690</v>
      </c>
      <c r="K505" s="19" t="s">
        <v>1345</v>
      </c>
      <c r="L505" s="19" t="s">
        <v>1346</v>
      </c>
      <c r="M505" s="19" t="s">
        <v>137</v>
      </c>
      <c r="N505" s="19"/>
      <c r="O505" s="19" t="s">
        <v>1321</v>
      </c>
    </row>
    <row r="506" customFormat="false" ht="22.35" hidden="false" customHeight="false" outlineLevel="0" collapsed="false">
      <c r="A506" s="19" t="s">
        <v>2994</v>
      </c>
      <c r="B506" s="19" t="s">
        <v>137</v>
      </c>
      <c r="C506" s="19" t="str">
        <f aca="false">IFERROR(INDEX('Agent Roster'!$B:$B,MATCH(B506,'Agent Roster'!$A:$A,0)),"UNASSIGNED")</f>
        <v>Founder Performance Agent</v>
      </c>
      <c r="D506" s="19" t="str">
        <f aca="false">IFERROR(INDEX('Agent Roster'!$D:$D,MATCH(B506,'Agent Roster'!$A:$A,0)),"UNASSIGNED")</f>
        <v>Governance &amp; Meta-Tier</v>
      </c>
      <c r="E506" s="19" t="s">
        <v>2975</v>
      </c>
      <c r="F506" s="19" t="s">
        <v>2995</v>
      </c>
      <c r="G506" s="19" t="s">
        <v>1315</v>
      </c>
      <c r="H506" s="19" t="s">
        <v>2977</v>
      </c>
      <c r="I506" s="19" t="s">
        <v>2996</v>
      </c>
      <c r="J506" s="19" t="s">
        <v>690</v>
      </c>
      <c r="K506" s="19" t="s">
        <v>1350</v>
      </c>
      <c r="L506" s="19" t="s">
        <v>1351</v>
      </c>
      <c r="M506" s="19" t="s">
        <v>137</v>
      </c>
      <c r="N506" s="19"/>
      <c r="O506" s="19" t="s">
        <v>1321</v>
      </c>
    </row>
    <row r="507" customFormat="false" ht="22.35" hidden="false" customHeight="false" outlineLevel="0" collapsed="false">
      <c r="A507" s="19" t="s">
        <v>2997</v>
      </c>
      <c r="B507" s="19" t="s">
        <v>137</v>
      </c>
      <c r="C507" s="19" t="str">
        <f aca="false">IFERROR(INDEX('Agent Roster'!$B:$B,MATCH(B507,'Agent Roster'!$A:$A,0)),"UNASSIGNED")</f>
        <v>Founder Performance Agent</v>
      </c>
      <c r="D507" s="19" t="str">
        <f aca="false">IFERROR(INDEX('Agent Roster'!$D:$D,MATCH(B507,'Agent Roster'!$A:$A,0)),"UNASSIGNED")</f>
        <v>Governance &amp; Meta-Tier</v>
      </c>
      <c r="E507" s="19" t="s">
        <v>2975</v>
      </c>
      <c r="F507" s="19" t="s">
        <v>2998</v>
      </c>
      <c r="G507" s="19" t="s">
        <v>1315</v>
      </c>
      <c r="H507" s="19" t="s">
        <v>2977</v>
      </c>
      <c r="I507" s="19" t="s">
        <v>2999</v>
      </c>
      <c r="J507" s="19" t="s">
        <v>690</v>
      </c>
      <c r="K507" s="19" t="s">
        <v>1355</v>
      </c>
      <c r="L507" s="19" t="s">
        <v>1376</v>
      </c>
      <c r="M507" s="19" t="s">
        <v>1377</v>
      </c>
      <c r="N507" s="19"/>
      <c r="O507" s="19" t="s">
        <v>1321</v>
      </c>
    </row>
    <row r="508" customFormat="false" ht="22.35" hidden="false" customHeight="false" outlineLevel="0" collapsed="false">
      <c r="A508" s="19" t="s">
        <v>3000</v>
      </c>
      <c r="B508" s="19" t="s">
        <v>137</v>
      </c>
      <c r="C508" s="19" t="str">
        <f aca="false">IFERROR(INDEX('Agent Roster'!$B:$B,MATCH(B508,'Agent Roster'!$A:$A,0)),"UNASSIGNED")</f>
        <v>Founder Performance Agent</v>
      </c>
      <c r="D508" s="19" t="str">
        <f aca="false">IFERROR(INDEX('Agent Roster'!$D:$D,MATCH(B508,'Agent Roster'!$A:$A,0)),"UNASSIGNED")</f>
        <v>Governance &amp; Meta-Tier</v>
      </c>
      <c r="E508" s="19" t="s">
        <v>3001</v>
      </c>
      <c r="F508" s="19" t="s">
        <v>3002</v>
      </c>
      <c r="G508" s="19" t="s">
        <v>1315</v>
      </c>
      <c r="H508" s="19" t="s">
        <v>3003</v>
      </c>
      <c r="I508" s="19" t="s">
        <v>3004</v>
      </c>
      <c r="J508" s="19" t="s">
        <v>1139</v>
      </c>
      <c r="K508" s="19" t="s">
        <v>1319</v>
      </c>
      <c r="L508" s="19" t="s">
        <v>1320</v>
      </c>
      <c r="M508" s="19" t="s">
        <v>137</v>
      </c>
      <c r="N508" s="19"/>
      <c r="O508" s="19" t="s">
        <v>1321</v>
      </c>
    </row>
    <row r="509" customFormat="false" ht="22.35" hidden="false" customHeight="false" outlineLevel="0" collapsed="false">
      <c r="A509" s="19" t="s">
        <v>3005</v>
      </c>
      <c r="B509" s="19" t="s">
        <v>137</v>
      </c>
      <c r="C509" s="19" t="str">
        <f aca="false">IFERROR(INDEX('Agent Roster'!$B:$B,MATCH(B509,'Agent Roster'!$A:$A,0)),"UNASSIGNED")</f>
        <v>Founder Performance Agent</v>
      </c>
      <c r="D509" s="19" t="str">
        <f aca="false">IFERROR(INDEX('Agent Roster'!$D:$D,MATCH(B509,'Agent Roster'!$A:$A,0)),"UNASSIGNED")</f>
        <v>Governance &amp; Meta-Tier</v>
      </c>
      <c r="E509" s="19" t="s">
        <v>3001</v>
      </c>
      <c r="F509" s="19" t="s">
        <v>3006</v>
      </c>
      <c r="G509" s="19" t="s">
        <v>1315</v>
      </c>
      <c r="H509" s="19" t="s">
        <v>3003</v>
      </c>
      <c r="I509" s="19" t="s">
        <v>3007</v>
      </c>
      <c r="J509" s="19" t="s">
        <v>1139</v>
      </c>
      <c r="K509" s="19" t="s">
        <v>1325</v>
      </c>
      <c r="L509" s="19" t="s">
        <v>1326</v>
      </c>
      <c r="M509" s="19" t="s">
        <v>137</v>
      </c>
      <c r="N509" s="19"/>
      <c r="O509" s="19" t="s">
        <v>1321</v>
      </c>
    </row>
    <row r="510" customFormat="false" ht="22.35" hidden="false" customHeight="false" outlineLevel="0" collapsed="false">
      <c r="A510" s="19" t="s">
        <v>3008</v>
      </c>
      <c r="B510" s="19" t="s">
        <v>137</v>
      </c>
      <c r="C510" s="19" t="str">
        <f aca="false">IFERROR(INDEX('Agent Roster'!$B:$B,MATCH(B510,'Agent Roster'!$A:$A,0)),"UNASSIGNED")</f>
        <v>Founder Performance Agent</v>
      </c>
      <c r="D510" s="19" t="str">
        <f aca="false">IFERROR(INDEX('Agent Roster'!$D:$D,MATCH(B510,'Agent Roster'!$A:$A,0)),"UNASSIGNED")</f>
        <v>Governance &amp; Meta-Tier</v>
      </c>
      <c r="E510" s="19" t="s">
        <v>3001</v>
      </c>
      <c r="F510" s="19" t="s">
        <v>3009</v>
      </c>
      <c r="G510" s="19" t="s">
        <v>1315</v>
      </c>
      <c r="H510" s="19" t="s">
        <v>3003</v>
      </c>
      <c r="I510" s="19" t="s">
        <v>3010</v>
      </c>
      <c r="J510" s="19" t="s">
        <v>1139</v>
      </c>
      <c r="K510" s="19" t="s">
        <v>1330</v>
      </c>
      <c r="L510" s="19" t="s">
        <v>1331</v>
      </c>
      <c r="M510" s="19" t="s">
        <v>137</v>
      </c>
      <c r="N510" s="19"/>
      <c r="O510" s="19" t="s">
        <v>1321</v>
      </c>
    </row>
    <row r="511" customFormat="false" ht="22.35" hidden="false" customHeight="false" outlineLevel="0" collapsed="false">
      <c r="A511" s="19" t="s">
        <v>3011</v>
      </c>
      <c r="B511" s="19" t="s">
        <v>137</v>
      </c>
      <c r="C511" s="19" t="str">
        <f aca="false">IFERROR(INDEX('Agent Roster'!$B:$B,MATCH(B511,'Agent Roster'!$A:$A,0)),"UNASSIGNED")</f>
        <v>Founder Performance Agent</v>
      </c>
      <c r="D511" s="19" t="str">
        <f aca="false">IFERROR(INDEX('Agent Roster'!$D:$D,MATCH(B511,'Agent Roster'!$A:$A,0)),"UNASSIGNED")</f>
        <v>Governance &amp; Meta-Tier</v>
      </c>
      <c r="E511" s="19" t="s">
        <v>3001</v>
      </c>
      <c r="F511" s="19" t="s">
        <v>3012</v>
      </c>
      <c r="G511" s="19" t="s">
        <v>1315</v>
      </c>
      <c r="H511" s="19" t="s">
        <v>3003</v>
      </c>
      <c r="I511" s="19" t="s">
        <v>3013</v>
      </c>
      <c r="J511" s="19" t="s">
        <v>1139</v>
      </c>
      <c r="K511" s="19" t="s">
        <v>1335</v>
      </c>
      <c r="L511" s="19" t="s">
        <v>1336</v>
      </c>
      <c r="M511" s="19" t="s">
        <v>137</v>
      </c>
      <c r="N511" s="19"/>
      <c r="O511" s="19" t="s">
        <v>1321</v>
      </c>
    </row>
    <row r="512" customFormat="false" ht="22.35" hidden="false" customHeight="false" outlineLevel="0" collapsed="false">
      <c r="A512" s="19" t="s">
        <v>3014</v>
      </c>
      <c r="B512" s="19" t="s">
        <v>137</v>
      </c>
      <c r="C512" s="19" t="str">
        <f aca="false">IFERROR(INDEX('Agent Roster'!$B:$B,MATCH(B512,'Agent Roster'!$A:$A,0)),"UNASSIGNED")</f>
        <v>Founder Performance Agent</v>
      </c>
      <c r="D512" s="19" t="str">
        <f aca="false">IFERROR(INDEX('Agent Roster'!$D:$D,MATCH(B512,'Agent Roster'!$A:$A,0)),"UNASSIGNED")</f>
        <v>Governance &amp; Meta-Tier</v>
      </c>
      <c r="E512" s="19" t="s">
        <v>3001</v>
      </c>
      <c r="F512" s="19" t="s">
        <v>3015</v>
      </c>
      <c r="G512" s="19" t="s">
        <v>1315</v>
      </c>
      <c r="H512" s="19" t="s">
        <v>3003</v>
      </c>
      <c r="I512" s="19" t="s">
        <v>3016</v>
      </c>
      <c r="J512" s="19" t="s">
        <v>1139</v>
      </c>
      <c r="K512" s="19" t="s">
        <v>1340</v>
      </c>
      <c r="L512" s="19" t="s">
        <v>1341</v>
      </c>
      <c r="M512" s="19" t="s">
        <v>137</v>
      </c>
      <c r="N512" s="19"/>
      <c r="O512" s="19" t="s">
        <v>1321</v>
      </c>
    </row>
    <row r="513" customFormat="false" ht="22.35" hidden="false" customHeight="false" outlineLevel="0" collapsed="false">
      <c r="A513" s="19" t="s">
        <v>3017</v>
      </c>
      <c r="B513" s="19" t="s">
        <v>137</v>
      </c>
      <c r="C513" s="19" t="str">
        <f aca="false">IFERROR(INDEX('Agent Roster'!$B:$B,MATCH(B513,'Agent Roster'!$A:$A,0)),"UNASSIGNED")</f>
        <v>Founder Performance Agent</v>
      </c>
      <c r="D513" s="19" t="str">
        <f aca="false">IFERROR(INDEX('Agent Roster'!$D:$D,MATCH(B513,'Agent Roster'!$A:$A,0)),"UNASSIGNED")</f>
        <v>Governance &amp; Meta-Tier</v>
      </c>
      <c r="E513" s="19" t="s">
        <v>3001</v>
      </c>
      <c r="F513" s="19" t="s">
        <v>3018</v>
      </c>
      <c r="G513" s="19" t="s">
        <v>1315</v>
      </c>
      <c r="H513" s="19" t="s">
        <v>3003</v>
      </c>
      <c r="I513" s="19" t="s">
        <v>3019</v>
      </c>
      <c r="J513" s="19" t="s">
        <v>1139</v>
      </c>
      <c r="K513" s="19" t="s">
        <v>1345</v>
      </c>
      <c r="L513" s="19" t="s">
        <v>1346</v>
      </c>
      <c r="M513" s="19" t="s">
        <v>137</v>
      </c>
      <c r="N513" s="19"/>
      <c r="O513" s="19" t="s">
        <v>1321</v>
      </c>
    </row>
    <row r="514" customFormat="false" ht="22.35" hidden="false" customHeight="false" outlineLevel="0" collapsed="false">
      <c r="A514" s="19" t="s">
        <v>3020</v>
      </c>
      <c r="B514" s="19" t="s">
        <v>137</v>
      </c>
      <c r="C514" s="19" t="str">
        <f aca="false">IFERROR(INDEX('Agent Roster'!$B:$B,MATCH(B514,'Agent Roster'!$A:$A,0)),"UNASSIGNED")</f>
        <v>Founder Performance Agent</v>
      </c>
      <c r="D514" s="19" t="str">
        <f aca="false">IFERROR(INDEX('Agent Roster'!$D:$D,MATCH(B514,'Agent Roster'!$A:$A,0)),"UNASSIGNED")</f>
        <v>Governance &amp; Meta-Tier</v>
      </c>
      <c r="E514" s="19" t="s">
        <v>3001</v>
      </c>
      <c r="F514" s="19" t="s">
        <v>3021</v>
      </c>
      <c r="G514" s="19" t="s">
        <v>1315</v>
      </c>
      <c r="H514" s="19" t="s">
        <v>3003</v>
      </c>
      <c r="I514" s="19" t="s">
        <v>3022</v>
      </c>
      <c r="J514" s="19" t="s">
        <v>1139</v>
      </c>
      <c r="K514" s="19" t="s">
        <v>1350</v>
      </c>
      <c r="L514" s="19" t="s">
        <v>1376</v>
      </c>
      <c r="M514" s="19" t="s">
        <v>1377</v>
      </c>
      <c r="N514" s="19"/>
      <c r="O514" s="19" t="s">
        <v>1321</v>
      </c>
    </row>
    <row r="515" customFormat="false" ht="22.35" hidden="false" customHeight="false" outlineLevel="0" collapsed="false">
      <c r="A515" s="19" t="s">
        <v>3023</v>
      </c>
      <c r="B515" s="19" t="s">
        <v>137</v>
      </c>
      <c r="C515" s="19" t="str">
        <f aca="false">IFERROR(INDEX('Agent Roster'!$B:$B,MATCH(B515,'Agent Roster'!$A:$A,0)),"UNASSIGNED")</f>
        <v>Founder Performance Agent</v>
      </c>
      <c r="D515" s="19" t="str">
        <f aca="false">IFERROR(INDEX('Agent Roster'!$D:$D,MATCH(B515,'Agent Roster'!$A:$A,0)),"UNASSIGNED")</f>
        <v>Governance &amp; Meta-Tier</v>
      </c>
      <c r="E515" s="19" t="s">
        <v>3024</v>
      </c>
      <c r="F515" s="19" t="s">
        <v>3025</v>
      </c>
      <c r="G515" s="19" t="s">
        <v>1315</v>
      </c>
      <c r="H515" s="19" t="s">
        <v>3026</v>
      </c>
      <c r="I515" s="19" t="s">
        <v>3027</v>
      </c>
      <c r="J515" s="19" t="s">
        <v>3028</v>
      </c>
      <c r="K515" s="19" t="s">
        <v>1319</v>
      </c>
      <c r="L515" s="19" t="s">
        <v>1320</v>
      </c>
      <c r="M515" s="19" t="s">
        <v>137</v>
      </c>
      <c r="N515" s="19"/>
      <c r="O515" s="19" t="s">
        <v>1321</v>
      </c>
    </row>
    <row r="516" customFormat="false" ht="22.35" hidden="false" customHeight="false" outlineLevel="0" collapsed="false">
      <c r="A516" s="19" t="s">
        <v>3029</v>
      </c>
      <c r="B516" s="19" t="s">
        <v>137</v>
      </c>
      <c r="C516" s="19" t="str">
        <f aca="false">IFERROR(INDEX('Agent Roster'!$B:$B,MATCH(B516,'Agent Roster'!$A:$A,0)),"UNASSIGNED")</f>
        <v>Founder Performance Agent</v>
      </c>
      <c r="D516" s="19" t="str">
        <f aca="false">IFERROR(INDEX('Agent Roster'!$D:$D,MATCH(B516,'Agent Roster'!$A:$A,0)),"UNASSIGNED")</f>
        <v>Governance &amp; Meta-Tier</v>
      </c>
      <c r="E516" s="19" t="s">
        <v>3024</v>
      </c>
      <c r="F516" s="19" t="s">
        <v>3030</v>
      </c>
      <c r="G516" s="19" t="s">
        <v>1315</v>
      </c>
      <c r="H516" s="19" t="s">
        <v>3026</v>
      </c>
      <c r="I516" s="19" t="s">
        <v>3031</v>
      </c>
      <c r="J516" s="19" t="s">
        <v>3028</v>
      </c>
      <c r="K516" s="19" t="s">
        <v>1325</v>
      </c>
      <c r="L516" s="19" t="s">
        <v>1326</v>
      </c>
      <c r="M516" s="19" t="s">
        <v>137</v>
      </c>
      <c r="N516" s="19"/>
      <c r="O516" s="19" t="s">
        <v>1321</v>
      </c>
    </row>
    <row r="517" customFormat="false" ht="22.35" hidden="false" customHeight="false" outlineLevel="0" collapsed="false">
      <c r="A517" s="19" t="s">
        <v>3032</v>
      </c>
      <c r="B517" s="19" t="s">
        <v>137</v>
      </c>
      <c r="C517" s="19" t="str">
        <f aca="false">IFERROR(INDEX('Agent Roster'!$B:$B,MATCH(B517,'Agent Roster'!$A:$A,0)),"UNASSIGNED")</f>
        <v>Founder Performance Agent</v>
      </c>
      <c r="D517" s="19" t="str">
        <f aca="false">IFERROR(INDEX('Agent Roster'!$D:$D,MATCH(B517,'Agent Roster'!$A:$A,0)),"UNASSIGNED")</f>
        <v>Governance &amp; Meta-Tier</v>
      </c>
      <c r="E517" s="19" t="s">
        <v>3024</v>
      </c>
      <c r="F517" s="19" t="s">
        <v>3033</v>
      </c>
      <c r="G517" s="19" t="s">
        <v>1315</v>
      </c>
      <c r="H517" s="19" t="s">
        <v>3026</v>
      </c>
      <c r="I517" s="19" t="s">
        <v>3034</v>
      </c>
      <c r="J517" s="19" t="s">
        <v>3028</v>
      </c>
      <c r="K517" s="19" t="s">
        <v>1330</v>
      </c>
      <c r="L517" s="19" t="s">
        <v>1331</v>
      </c>
      <c r="M517" s="19" t="s">
        <v>137</v>
      </c>
      <c r="N517" s="19"/>
      <c r="O517" s="19" t="s">
        <v>1321</v>
      </c>
    </row>
    <row r="518" customFormat="false" ht="22.35" hidden="false" customHeight="false" outlineLevel="0" collapsed="false">
      <c r="A518" s="19" t="s">
        <v>3035</v>
      </c>
      <c r="B518" s="19" t="s">
        <v>137</v>
      </c>
      <c r="C518" s="19" t="str">
        <f aca="false">IFERROR(INDEX('Agent Roster'!$B:$B,MATCH(B518,'Agent Roster'!$A:$A,0)),"UNASSIGNED")</f>
        <v>Founder Performance Agent</v>
      </c>
      <c r="D518" s="19" t="str">
        <f aca="false">IFERROR(INDEX('Agent Roster'!$D:$D,MATCH(B518,'Agent Roster'!$A:$A,0)),"UNASSIGNED")</f>
        <v>Governance &amp; Meta-Tier</v>
      </c>
      <c r="E518" s="19" t="s">
        <v>3024</v>
      </c>
      <c r="F518" s="19" t="s">
        <v>3036</v>
      </c>
      <c r="G518" s="19" t="s">
        <v>1315</v>
      </c>
      <c r="H518" s="19" t="s">
        <v>3026</v>
      </c>
      <c r="I518" s="19" t="s">
        <v>3037</v>
      </c>
      <c r="J518" s="19" t="s">
        <v>3028</v>
      </c>
      <c r="K518" s="19" t="s">
        <v>1335</v>
      </c>
      <c r="L518" s="19" t="s">
        <v>1336</v>
      </c>
      <c r="M518" s="19" t="s">
        <v>137</v>
      </c>
      <c r="N518" s="19"/>
      <c r="O518" s="19" t="s">
        <v>1321</v>
      </c>
    </row>
    <row r="519" customFormat="false" ht="22.35" hidden="false" customHeight="false" outlineLevel="0" collapsed="false">
      <c r="A519" s="19" t="s">
        <v>3038</v>
      </c>
      <c r="B519" s="19" t="s">
        <v>137</v>
      </c>
      <c r="C519" s="19" t="str">
        <f aca="false">IFERROR(INDEX('Agent Roster'!$B:$B,MATCH(B519,'Agent Roster'!$A:$A,0)),"UNASSIGNED")</f>
        <v>Founder Performance Agent</v>
      </c>
      <c r="D519" s="19" t="str">
        <f aca="false">IFERROR(INDEX('Agent Roster'!$D:$D,MATCH(B519,'Agent Roster'!$A:$A,0)),"UNASSIGNED")</f>
        <v>Governance &amp; Meta-Tier</v>
      </c>
      <c r="E519" s="19" t="s">
        <v>3024</v>
      </c>
      <c r="F519" s="19" t="s">
        <v>3039</v>
      </c>
      <c r="G519" s="19" t="s">
        <v>1315</v>
      </c>
      <c r="H519" s="19" t="s">
        <v>3026</v>
      </c>
      <c r="I519" s="19" t="s">
        <v>3040</v>
      </c>
      <c r="J519" s="19" t="s">
        <v>3028</v>
      </c>
      <c r="K519" s="19" t="s">
        <v>1340</v>
      </c>
      <c r="L519" s="19" t="s">
        <v>1341</v>
      </c>
      <c r="M519" s="19" t="s">
        <v>137</v>
      </c>
      <c r="N519" s="19"/>
      <c r="O519" s="19" t="s">
        <v>1321</v>
      </c>
    </row>
    <row r="520" customFormat="false" ht="22.35" hidden="false" customHeight="false" outlineLevel="0" collapsed="false">
      <c r="A520" s="19" t="s">
        <v>3041</v>
      </c>
      <c r="B520" s="19" t="s">
        <v>137</v>
      </c>
      <c r="C520" s="19" t="str">
        <f aca="false">IFERROR(INDEX('Agent Roster'!$B:$B,MATCH(B520,'Agent Roster'!$A:$A,0)),"UNASSIGNED")</f>
        <v>Founder Performance Agent</v>
      </c>
      <c r="D520" s="19" t="str">
        <f aca="false">IFERROR(INDEX('Agent Roster'!$D:$D,MATCH(B520,'Agent Roster'!$A:$A,0)),"UNASSIGNED")</f>
        <v>Governance &amp; Meta-Tier</v>
      </c>
      <c r="E520" s="19" t="s">
        <v>3024</v>
      </c>
      <c r="F520" s="19" t="s">
        <v>3042</v>
      </c>
      <c r="G520" s="19" t="s">
        <v>1315</v>
      </c>
      <c r="H520" s="19" t="s">
        <v>3026</v>
      </c>
      <c r="I520" s="19" t="s">
        <v>3043</v>
      </c>
      <c r="J520" s="19" t="s">
        <v>3028</v>
      </c>
      <c r="K520" s="19" t="s">
        <v>1345</v>
      </c>
      <c r="L520" s="19" t="s">
        <v>1346</v>
      </c>
      <c r="M520" s="19" t="s">
        <v>137</v>
      </c>
      <c r="N520" s="19"/>
      <c r="O520" s="19" t="s">
        <v>1321</v>
      </c>
    </row>
    <row r="521" customFormat="false" ht="22.35" hidden="false" customHeight="false" outlineLevel="0" collapsed="false">
      <c r="A521" s="19" t="s">
        <v>3044</v>
      </c>
      <c r="B521" s="19" t="s">
        <v>137</v>
      </c>
      <c r="C521" s="19" t="str">
        <f aca="false">IFERROR(INDEX('Agent Roster'!$B:$B,MATCH(B521,'Agent Roster'!$A:$A,0)),"UNASSIGNED")</f>
        <v>Founder Performance Agent</v>
      </c>
      <c r="D521" s="19" t="str">
        <f aca="false">IFERROR(INDEX('Agent Roster'!$D:$D,MATCH(B521,'Agent Roster'!$A:$A,0)),"UNASSIGNED")</f>
        <v>Governance &amp; Meta-Tier</v>
      </c>
      <c r="E521" s="19" t="s">
        <v>3024</v>
      </c>
      <c r="F521" s="19" t="s">
        <v>3045</v>
      </c>
      <c r="G521" s="19" t="s">
        <v>1315</v>
      </c>
      <c r="H521" s="19" t="s">
        <v>3026</v>
      </c>
      <c r="I521" s="19" t="s">
        <v>3046</v>
      </c>
      <c r="J521" s="19" t="s">
        <v>3028</v>
      </c>
      <c r="K521" s="19" t="s">
        <v>1350</v>
      </c>
      <c r="L521" s="19" t="s">
        <v>1351</v>
      </c>
      <c r="M521" s="19" t="s">
        <v>137</v>
      </c>
      <c r="N521" s="19"/>
      <c r="O521" s="19" t="s">
        <v>1321</v>
      </c>
    </row>
    <row r="522" customFormat="false" ht="22.35" hidden="false" customHeight="false" outlineLevel="0" collapsed="false">
      <c r="A522" s="19" t="s">
        <v>3047</v>
      </c>
      <c r="B522" s="19" t="s">
        <v>137</v>
      </c>
      <c r="C522" s="19" t="str">
        <f aca="false">IFERROR(INDEX('Agent Roster'!$B:$B,MATCH(B522,'Agent Roster'!$A:$A,0)),"UNASSIGNED")</f>
        <v>Founder Performance Agent</v>
      </c>
      <c r="D522" s="19" t="str">
        <f aca="false">IFERROR(INDEX('Agent Roster'!$D:$D,MATCH(B522,'Agent Roster'!$A:$A,0)),"UNASSIGNED")</f>
        <v>Governance &amp; Meta-Tier</v>
      </c>
      <c r="E522" s="19" t="s">
        <v>3024</v>
      </c>
      <c r="F522" s="19" t="s">
        <v>3048</v>
      </c>
      <c r="G522" s="19" t="s">
        <v>1315</v>
      </c>
      <c r="H522" s="19" t="s">
        <v>3026</v>
      </c>
      <c r="I522" s="19" t="s">
        <v>3049</v>
      </c>
      <c r="J522" s="19" t="s">
        <v>3028</v>
      </c>
      <c r="K522" s="19" t="s">
        <v>1355</v>
      </c>
      <c r="L522" s="19" t="s">
        <v>1356</v>
      </c>
      <c r="M522" s="19" t="s">
        <v>137</v>
      </c>
      <c r="N522" s="19"/>
      <c r="O522" s="19" t="s">
        <v>1321</v>
      </c>
    </row>
    <row r="523" customFormat="false" ht="22.35" hidden="false" customHeight="false" outlineLevel="0" collapsed="false">
      <c r="A523" s="19" t="s">
        <v>3050</v>
      </c>
      <c r="B523" s="19" t="s">
        <v>137</v>
      </c>
      <c r="C523" s="19" t="str">
        <f aca="false">IFERROR(INDEX('Agent Roster'!$B:$B,MATCH(B523,'Agent Roster'!$A:$A,0)),"UNASSIGNED")</f>
        <v>Founder Performance Agent</v>
      </c>
      <c r="D523" s="19" t="str">
        <f aca="false">IFERROR(INDEX('Agent Roster'!$D:$D,MATCH(B523,'Agent Roster'!$A:$A,0)),"UNASSIGNED")</f>
        <v>Governance &amp; Meta-Tier</v>
      </c>
      <c r="E523" s="19" t="s">
        <v>3024</v>
      </c>
      <c r="F523" s="19" t="s">
        <v>3051</v>
      </c>
      <c r="G523" s="19" t="s">
        <v>1315</v>
      </c>
      <c r="H523" s="19" t="s">
        <v>3026</v>
      </c>
      <c r="I523" s="19" t="s">
        <v>3052</v>
      </c>
      <c r="J523" s="19" t="s">
        <v>3028</v>
      </c>
      <c r="K523" s="19" t="s">
        <v>1360</v>
      </c>
      <c r="L523" s="19" t="s">
        <v>1376</v>
      </c>
      <c r="M523" s="19" t="s">
        <v>1377</v>
      </c>
      <c r="N523" s="19"/>
      <c r="O523" s="19" t="s">
        <v>1321</v>
      </c>
    </row>
    <row r="524" customFormat="false" ht="15" hidden="false" customHeight="false" outlineLevel="0" collapsed="false">
      <c r="A524" s="19" t="s">
        <v>3053</v>
      </c>
      <c r="B524" s="19" t="s">
        <v>929</v>
      </c>
      <c r="C524" s="19" t="str">
        <f aca="false">IFERROR(INDEX('Agent Roster'!$B:$B,MATCH(B524,'Agent Roster'!$A:$A,0)),"UNASSIGNED")</f>
        <v>Learning &amp; Development Agent</v>
      </c>
      <c r="D524" s="19" t="str">
        <f aca="false">IFERROR(INDEX('Agent Roster'!$D:$D,MATCH(B524,'Agent Roster'!$A:$A,0)),"UNASSIGNED")</f>
        <v>6 · HR &amp; Culture Hub</v>
      </c>
      <c r="E524" s="19" t="s">
        <v>3054</v>
      </c>
      <c r="F524" s="19" t="s">
        <v>3055</v>
      </c>
      <c r="G524" s="19" t="s">
        <v>1315</v>
      </c>
      <c r="H524" s="19" t="s">
        <v>3056</v>
      </c>
      <c r="I524" s="19" t="s">
        <v>3057</v>
      </c>
      <c r="J524" s="19" t="s">
        <v>3058</v>
      </c>
      <c r="K524" s="19" t="s">
        <v>1319</v>
      </c>
      <c r="L524" s="19" t="s">
        <v>1320</v>
      </c>
      <c r="M524" s="19" t="s">
        <v>929</v>
      </c>
      <c r="N524" s="19"/>
      <c r="O524" s="19" t="s">
        <v>1321</v>
      </c>
    </row>
    <row r="525" customFormat="false" ht="22.35" hidden="false" customHeight="false" outlineLevel="0" collapsed="false">
      <c r="A525" s="19" t="s">
        <v>3059</v>
      </c>
      <c r="B525" s="19" t="s">
        <v>929</v>
      </c>
      <c r="C525" s="19" t="str">
        <f aca="false">IFERROR(INDEX('Agent Roster'!$B:$B,MATCH(B525,'Agent Roster'!$A:$A,0)),"UNASSIGNED")</f>
        <v>Learning &amp; Development Agent</v>
      </c>
      <c r="D525" s="19" t="str">
        <f aca="false">IFERROR(INDEX('Agent Roster'!$D:$D,MATCH(B525,'Agent Roster'!$A:$A,0)),"UNASSIGNED")</f>
        <v>6 · HR &amp; Culture Hub</v>
      </c>
      <c r="E525" s="19" t="s">
        <v>3054</v>
      </c>
      <c r="F525" s="19" t="s">
        <v>3060</v>
      </c>
      <c r="G525" s="19" t="s">
        <v>1315</v>
      </c>
      <c r="H525" s="19" t="s">
        <v>3056</v>
      </c>
      <c r="I525" s="19" t="s">
        <v>3061</v>
      </c>
      <c r="J525" s="19" t="s">
        <v>3058</v>
      </c>
      <c r="K525" s="19" t="s">
        <v>1325</v>
      </c>
      <c r="L525" s="19" t="s">
        <v>1326</v>
      </c>
      <c r="M525" s="19" t="s">
        <v>929</v>
      </c>
      <c r="N525" s="19"/>
      <c r="O525" s="19" t="s">
        <v>1321</v>
      </c>
    </row>
    <row r="526" customFormat="false" ht="15" hidden="false" customHeight="false" outlineLevel="0" collapsed="false">
      <c r="A526" s="19" t="s">
        <v>3062</v>
      </c>
      <c r="B526" s="19" t="s">
        <v>929</v>
      </c>
      <c r="C526" s="19" t="str">
        <f aca="false">IFERROR(INDEX('Agent Roster'!$B:$B,MATCH(B526,'Agent Roster'!$A:$A,0)),"UNASSIGNED")</f>
        <v>Learning &amp; Development Agent</v>
      </c>
      <c r="D526" s="19" t="str">
        <f aca="false">IFERROR(INDEX('Agent Roster'!$D:$D,MATCH(B526,'Agent Roster'!$A:$A,0)),"UNASSIGNED")</f>
        <v>6 · HR &amp; Culture Hub</v>
      </c>
      <c r="E526" s="19" t="s">
        <v>3054</v>
      </c>
      <c r="F526" s="19" t="s">
        <v>3063</v>
      </c>
      <c r="G526" s="19" t="s">
        <v>1315</v>
      </c>
      <c r="H526" s="19" t="s">
        <v>3056</v>
      </c>
      <c r="I526" s="19" t="s">
        <v>3064</v>
      </c>
      <c r="J526" s="19" t="s">
        <v>3058</v>
      </c>
      <c r="K526" s="19" t="s">
        <v>1330</v>
      </c>
      <c r="L526" s="19" t="s">
        <v>1331</v>
      </c>
      <c r="M526" s="19" t="s">
        <v>929</v>
      </c>
      <c r="N526" s="19"/>
      <c r="O526" s="19" t="s">
        <v>1321</v>
      </c>
    </row>
    <row r="527" customFormat="false" ht="22.35" hidden="false" customHeight="false" outlineLevel="0" collapsed="false">
      <c r="A527" s="19" t="s">
        <v>3065</v>
      </c>
      <c r="B527" s="19" t="s">
        <v>929</v>
      </c>
      <c r="C527" s="19" t="str">
        <f aca="false">IFERROR(INDEX('Agent Roster'!$B:$B,MATCH(B527,'Agent Roster'!$A:$A,0)),"UNASSIGNED")</f>
        <v>Learning &amp; Development Agent</v>
      </c>
      <c r="D527" s="19" t="str">
        <f aca="false">IFERROR(INDEX('Agent Roster'!$D:$D,MATCH(B527,'Agent Roster'!$A:$A,0)),"UNASSIGNED")</f>
        <v>6 · HR &amp; Culture Hub</v>
      </c>
      <c r="E527" s="19" t="s">
        <v>3054</v>
      </c>
      <c r="F527" s="19" t="s">
        <v>3066</v>
      </c>
      <c r="G527" s="19" t="s">
        <v>1315</v>
      </c>
      <c r="H527" s="19" t="s">
        <v>3056</v>
      </c>
      <c r="I527" s="19" t="s">
        <v>3067</v>
      </c>
      <c r="J527" s="19" t="s">
        <v>3058</v>
      </c>
      <c r="K527" s="19" t="s">
        <v>1335</v>
      </c>
      <c r="L527" s="19" t="s">
        <v>1336</v>
      </c>
      <c r="M527" s="19" t="s">
        <v>929</v>
      </c>
      <c r="N527" s="19"/>
      <c r="O527" s="19" t="s">
        <v>1321</v>
      </c>
    </row>
    <row r="528" customFormat="false" ht="22.35" hidden="false" customHeight="false" outlineLevel="0" collapsed="false">
      <c r="A528" s="19" t="s">
        <v>3068</v>
      </c>
      <c r="B528" s="19" t="s">
        <v>929</v>
      </c>
      <c r="C528" s="19" t="str">
        <f aca="false">IFERROR(INDEX('Agent Roster'!$B:$B,MATCH(B528,'Agent Roster'!$A:$A,0)),"UNASSIGNED")</f>
        <v>Learning &amp; Development Agent</v>
      </c>
      <c r="D528" s="19" t="str">
        <f aca="false">IFERROR(INDEX('Agent Roster'!$D:$D,MATCH(B528,'Agent Roster'!$A:$A,0)),"UNASSIGNED")</f>
        <v>6 · HR &amp; Culture Hub</v>
      </c>
      <c r="E528" s="19" t="s">
        <v>3054</v>
      </c>
      <c r="F528" s="19" t="s">
        <v>3069</v>
      </c>
      <c r="G528" s="19" t="s">
        <v>1315</v>
      </c>
      <c r="H528" s="19" t="s">
        <v>3056</v>
      </c>
      <c r="I528" s="19" t="s">
        <v>3070</v>
      </c>
      <c r="J528" s="19" t="s">
        <v>3058</v>
      </c>
      <c r="K528" s="19" t="s">
        <v>1340</v>
      </c>
      <c r="L528" s="19" t="s">
        <v>1341</v>
      </c>
      <c r="M528" s="19" t="s">
        <v>929</v>
      </c>
      <c r="N528" s="19"/>
      <c r="O528" s="19" t="s">
        <v>1321</v>
      </c>
    </row>
    <row r="529" customFormat="false" ht="22.35" hidden="false" customHeight="false" outlineLevel="0" collapsed="false">
      <c r="A529" s="19" t="s">
        <v>3071</v>
      </c>
      <c r="B529" s="19" t="s">
        <v>929</v>
      </c>
      <c r="C529" s="19" t="str">
        <f aca="false">IFERROR(INDEX('Agent Roster'!$B:$B,MATCH(B529,'Agent Roster'!$A:$A,0)),"UNASSIGNED")</f>
        <v>Learning &amp; Development Agent</v>
      </c>
      <c r="D529" s="19" t="str">
        <f aca="false">IFERROR(INDEX('Agent Roster'!$D:$D,MATCH(B529,'Agent Roster'!$A:$A,0)),"UNASSIGNED")</f>
        <v>6 · HR &amp; Culture Hub</v>
      </c>
      <c r="E529" s="19" t="s">
        <v>3054</v>
      </c>
      <c r="F529" s="19" t="s">
        <v>3072</v>
      </c>
      <c r="G529" s="19" t="s">
        <v>1315</v>
      </c>
      <c r="H529" s="19" t="s">
        <v>3056</v>
      </c>
      <c r="I529" s="19" t="s">
        <v>3073</v>
      </c>
      <c r="J529" s="19" t="s">
        <v>3058</v>
      </c>
      <c r="K529" s="19" t="s">
        <v>1345</v>
      </c>
      <c r="L529" s="19" t="s">
        <v>1346</v>
      </c>
      <c r="M529" s="19" t="s">
        <v>929</v>
      </c>
      <c r="N529" s="19"/>
      <c r="O529" s="19" t="s">
        <v>1321</v>
      </c>
    </row>
    <row r="530" customFormat="false" ht="22.35" hidden="false" customHeight="false" outlineLevel="0" collapsed="false">
      <c r="A530" s="19" t="s">
        <v>3074</v>
      </c>
      <c r="B530" s="19" t="s">
        <v>929</v>
      </c>
      <c r="C530" s="19" t="str">
        <f aca="false">IFERROR(INDEX('Agent Roster'!$B:$B,MATCH(B530,'Agent Roster'!$A:$A,0)),"UNASSIGNED")</f>
        <v>Learning &amp; Development Agent</v>
      </c>
      <c r="D530" s="19" t="str">
        <f aca="false">IFERROR(INDEX('Agent Roster'!$D:$D,MATCH(B530,'Agent Roster'!$A:$A,0)),"UNASSIGNED")</f>
        <v>6 · HR &amp; Culture Hub</v>
      </c>
      <c r="E530" s="19" t="s">
        <v>3054</v>
      </c>
      <c r="F530" s="19" t="s">
        <v>3075</v>
      </c>
      <c r="G530" s="19" t="s">
        <v>1315</v>
      </c>
      <c r="H530" s="19" t="s">
        <v>3056</v>
      </c>
      <c r="I530" s="19" t="s">
        <v>3076</v>
      </c>
      <c r="J530" s="19" t="s">
        <v>3058</v>
      </c>
      <c r="K530" s="19" t="s">
        <v>1350</v>
      </c>
      <c r="L530" s="19" t="s">
        <v>1351</v>
      </c>
      <c r="M530" s="19" t="s">
        <v>929</v>
      </c>
      <c r="N530" s="19"/>
      <c r="O530" s="19" t="s">
        <v>1321</v>
      </c>
    </row>
    <row r="531" customFormat="false" ht="15" hidden="false" customHeight="false" outlineLevel="0" collapsed="false">
      <c r="A531" s="19" t="s">
        <v>3077</v>
      </c>
      <c r="B531" s="19" t="s">
        <v>929</v>
      </c>
      <c r="C531" s="19" t="str">
        <f aca="false">IFERROR(INDEX('Agent Roster'!$B:$B,MATCH(B531,'Agent Roster'!$A:$A,0)),"UNASSIGNED")</f>
        <v>Learning &amp; Development Agent</v>
      </c>
      <c r="D531" s="19" t="str">
        <f aca="false">IFERROR(INDEX('Agent Roster'!$D:$D,MATCH(B531,'Agent Roster'!$A:$A,0)),"UNASSIGNED")</f>
        <v>6 · HR &amp; Culture Hub</v>
      </c>
      <c r="E531" s="19" t="s">
        <v>3054</v>
      </c>
      <c r="F531" s="19" t="s">
        <v>3078</v>
      </c>
      <c r="G531" s="19" t="s">
        <v>1315</v>
      </c>
      <c r="H531" s="19" t="s">
        <v>3056</v>
      </c>
      <c r="I531" s="19" t="s">
        <v>3079</v>
      </c>
      <c r="J531" s="19" t="s">
        <v>3058</v>
      </c>
      <c r="K531" s="19" t="s">
        <v>1355</v>
      </c>
      <c r="L531" s="19" t="s">
        <v>1356</v>
      </c>
      <c r="M531" s="19" t="s">
        <v>929</v>
      </c>
      <c r="N531" s="19"/>
      <c r="O531" s="19" t="s">
        <v>1321</v>
      </c>
    </row>
    <row r="532" customFormat="false" ht="22.35" hidden="false" customHeight="false" outlineLevel="0" collapsed="false">
      <c r="A532" s="19" t="s">
        <v>3080</v>
      </c>
      <c r="B532" s="19" t="s">
        <v>929</v>
      </c>
      <c r="C532" s="19" t="str">
        <f aca="false">IFERROR(INDEX('Agent Roster'!$B:$B,MATCH(B532,'Agent Roster'!$A:$A,0)),"UNASSIGNED")</f>
        <v>Learning &amp; Development Agent</v>
      </c>
      <c r="D532" s="19" t="str">
        <f aca="false">IFERROR(INDEX('Agent Roster'!$D:$D,MATCH(B532,'Agent Roster'!$A:$A,0)),"UNASSIGNED")</f>
        <v>6 · HR &amp; Culture Hub</v>
      </c>
      <c r="E532" s="19" t="s">
        <v>3054</v>
      </c>
      <c r="F532" s="19" t="s">
        <v>3081</v>
      </c>
      <c r="G532" s="19" t="s">
        <v>1315</v>
      </c>
      <c r="H532" s="19" t="s">
        <v>3056</v>
      </c>
      <c r="I532" s="19" t="s">
        <v>3082</v>
      </c>
      <c r="J532" s="19" t="s">
        <v>3058</v>
      </c>
      <c r="K532" s="19" t="s">
        <v>1360</v>
      </c>
      <c r="L532" s="19" t="s">
        <v>1361</v>
      </c>
      <c r="M532" s="19" t="s">
        <v>929</v>
      </c>
      <c r="N532" s="19"/>
      <c r="O532" s="19" t="s">
        <v>1321</v>
      </c>
    </row>
    <row r="533" customFormat="false" ht="22.35" hidden="false" customHeight="false" outlineLevel="0" collapsed="false">
      <c r="A533" s="19" t="s">
        <v>3083</v>
      </c>
      <c r="B533" s="19" t="s">
        <v>929</v>
      </c>
      <c r="C533" s="19" t="str">
        <f aca="false">IFERROR(INDEX('Agent Roster'!$B:$B,MATCH(B533,'Agent Roster'!$A:$A,0)),"UNASSIGNED")</f>
        <v>Learning &amp; Development Agent</v>
      </c>
      <c r="D533" s="19" t="str">
        <f aca="false">IFERROR(INDEX('Agent Roster'!$D:$D,MATCH(B533,'Agent Roster'!$A:$A,0)),"UNASSIGNED")</f>
        <v>6 · HR &amp; Culture Hub</v>
      </c>
      <c r="E533" s="19" t="s">
        <v>3054</v>
      </c>
      <c r="F533" s="19" t="s">
        <v>3084</v>
      </c>
      <c r="G533" s="19" t="s">
        <v>1315</v>
      </c>
      <c r="H533" s="19" t="s">
        <v>3056</v>
      </c>
      <c r="I533" s="19" t="s">
        <v>3085</v>
      </c>
      <c r="J533" s="19" t="s">
        <v>3058</v>
      </c>
      <c r="K533" s="19" t="s">
        <v>1365</v>
      </c>
      <c r="L533" s="19" t="s">
        <v>1376</v>
      </c>
      <c r="M533" s="19" t="s">
        <v>1377</v>
      </c>
      <c r="N533" s="19"/>
      <c r="O533" s="19" t="s">
        <v>1321</v>
      </c>
    </row>
    <row r="534" customFormat="false" ht="22.35" hidden="false" customHeight="false" outlineLevel="0" collapsed="false">
      <c r="A534" s="19" t="s">
        <v>3086</v>
      </c>
      <c r="B534" s="19" t="s">
        <v>47</v>
      </c>
      <c r="C534" s="19" t="str">
        <f aca="false">IFERROR(INDEX('Agent Roster'!$B:$B,MATCH(B534,'Agent Roster'!$A:$A,0)),"UNASSIGNED")</f>
        <v>Founder / Operator (HUMAN)</v>
      </c>
      <c r="D534" s="19" t="str">
        <f aca="false">IFERROR(INDEX('Agent Roster'!$D:$D,MATCH(B534,'Agent Roster'!$A:$A,0)),"UNASSIGNED")</f>
        <v>Governance &amp; Meta-Tier</v>
      </c>
      <c r="E534" s="19" t="s">
        <v>3087</v>
      </c>
      <c r="F534" s="19" t="s">
        <v>3088</v>
      </c>
      <c r="G534" s="19" t="s">
        <v>1315</v>
      </c>
      <c r="H534" s="19" t="s">
        <v>3089</v>
      </c>
      <c r="I534" s="19" t="s">
        <v>3090</v>
      </c>
      <c r="J534" s="19" t="s">
        <v>51</v>
      </c>
      <c r="K534" s="19" t="s">
        <v>1319</v>
      </c>
      <c r="L534" s="19" t="s">
        <v>1320</v>
      </c>
      <c r="M534" s="19" t="s">
        <v>47</v>
      </c>
      <c r="N534" s="19" t="s">
        <v>1657</v>
      </c>
      <c r="O534" s="19" t="s">
        <v>2060</v>
      </c>
    </row>
    <row r="535" customFormat="false" ht="32.8" hidden="false" customHeight="false" outlineLevel="0" collapsed="false">
      <c r="A535" s="19" t="s">
        <v>3091</v>
      </c>
      <c r="B535" s="19" t="s">
        <v>47</v>
      </c>
      <c r="C535" s="19" t="str">
        <f aca="false">IFERROR(INDEX('Agent Roster'!$B:$B,MATCH(B535,'Agent Roster'!$A:$A,0)),"UNASSIGNED")</f>
        <v>Founder / Operator (HUMAN)</v>
      </c>
      <c r="D535" s="19" t="str">
        <f aca="false">IFERROR(INDEX('Agent Roster'!$D:$D,MATCH(B535,'Agent Roster'!$A:$A,0)),"UNASSIGNED")</f>
        <v>Governance &amp; Meta-Tier</v>
      </c>
      <c r="E535" s="19" t="s">
        <v>3087</v>
      </c>
      <c r="F535" s="19" t="s">
        <v>3092</v>
      </c>
      <c r="G535" s="19" t="s">
        <v>1315</v>
      </c>
      <c r="H535" s="19" t="s">
        <v>3089</v>
      </c>
      <c r="I535" s="19" t="s">
        <v>3093</v>
      </c>
      <c r="J535" s="19" t="s">
        <v>51</v>
      </c>
      <c r="K535" s="19" t="s">
        <v>1325</v>
      </c>
      <c r="L535" s="19" t="s">
        <v>1326</v>
      </c>
      <c r="M535" s="19" t="s">
        <v>47</v>
      </c>
      <c r="N535" s="19" t="s">
        <v>1657</v>
      </c>
      <c r="O535" s="19" t="s">
        <v>2060</v>
      </c>
    </row>
    <row r="536" customFormat="false" ht="22.35" hidden="false" customHeight="false" outlineLevel="0" collapsed="false">
      <c r="A536" s="19" t="s">
        <v>3094</v>
      </c>
      <c r="B536" s="19" t="s">
        <v>47</v>
      </c>
      <c r="C536" s="19" t="str">
        <f aca="false">IFERROR(INDEX('Agent Roster'!$B:$B,MATCH(B536,'Agent Roster'!$A:$A,0)),"UNASSIGNED")</f>
        <v>Founder / Operator (HUMAN)</v>
      </c>
      <c r="D536" s="19" t="str">
        <f aca="false">IFERROR(INDEX('Agent Roster'!$D:$D,MATCH(B536,'Agent Roster'!$A:$A,0)),"UNASSIGNED")</f>
        <v>Governance &amp; Meta-Tier</v>
      </c>
      <c r="E536" s="19" t="s">
        <v>3087</v>
      </c>
      <c r="F536" s="19" t="s">
        <v>3095</v>
      </c>
      <c r="G536" s="19" t="s">
        <v>1315</v>
      </c>
      <c r="H536" s="19" t="s">
        <v>3089</v>
      </c>
      <c r="I536" s="19" t="s">
        <v>3096</v>
      </c>
      <c r="J536" s="19" t="s">
        <v>51</v>
      </c>
      <c r="K536" s="19" t="s">
        <v>1330</v>
      </c>
      <c r="L536" s="19" t="s">
        <v>1331</v>
      </c>
      <c r="M536" s="19" t="s">
        <v>47</v>
      </c>
      <c r="N536" s="19" t="s">
        <v>1657</v>
      </c>
      <c r="O536" s="19" t="s">
        <v>2060</v>
      </c>
    </row>
    <row r="537" customFormat="false" ht="22.35" hidden="false" customHeight="false" outlineLevel="0" collapsed="false">
      <c r="A537" s="19" t="s">
        <v>3097</v>
      </c>
      <c r="B537" s="19" t="s">
        <v>47</v>
      </c>
      <c r="C537" s="19" t="str">
        <f aca="false">IFERROR(INDEX('Agent Roster'!$B:$B,MATCH(B537,'Agent Roster'!$A:$A,0)),"UNASSIGNED")</f>
        <v>Founder / Operator (HUMAN)</v>
      </c>
      <c r="D537" s="19" t="str">
        <f aca="false">IFERROR(INDEX('Agent Roster'!$D:$D,MATCH(B537,'Agent Roster'!$A:$A,0)),"UNASSIGNED")</f>
        <v>Governance &amp; Meta-Tier</v>
      </c>
      <c r="E537" s="19" t="s">
        <v>3087</v>
      </c>
      <c r="F537" s="19" t="s">
        <v>3098</v>
      </c>
      <c r="G537" s="19" t="s">
        <v>1315</v>
      </c>
      <c r="H537" s="19" t="s">
        <v>3089</v>
      </c>
      <c r="I537" s="19" t="s">
        <v>3099</v>
      </c>
      <c r="J537" s="19" t="s">
        <v>51</v>
      </c>
      <c r="K537" s="19" t="s">
        <v>1335</v>
      </c>
      <c r="L537" s="19" t="s">
        <v>1336</v>
      </c>
      <c r="M537" s="19" t="s">
        <v>47</v>
      </c>
      <c r="N537" s="19" t="s">
        <v>1657</v>
      </c>
      <c r="O537" s="19" t="s">
        <v>2060</v>
      </c>
    </row>
    <row r="538" customFormat="false" ht="32.8" hidden="false" customHeight="false" outlineLevel="0" collapsed="false">
      <c r="A538" s="19" t="s">
        <v>3100</v>
      </c>
      <c r="B538" s="19" t="s">
        <v>47</v>
      </c>
      <c r="C538" s="19" t="str">
        <f aca="false">IFERROR(INDEX('Agent Roster'!$B:$B,MATCH(B538,'Agent Roster'!$A:$A,0)),"UNASSIGNED")</f>
        <v>Founder / Operator (HUMAN)</v>
      </c>
      <c r="D538" s="19" t="str">
        <f aca="false">IFERROR(INDEX('Agent Roster'!$D:$D,MATCH(B538,'Agent Roster'!$A:$A,0)),"UNASSIGNED")</f>
        <v>Governance &amp; Meta-Tier</v>
      </c>
      <c r="E538" s="19" t="s">
        <v>3087</v>
      </c>
      <c r="F538" s="19" t="s">
        <v>3101</v>
      </c>
      <c r="G538" s="19" t="s">
        <v>1315</v>
      </c>
      <c r="H538" s="19" t="s">
        <v>3089</v>
      </c>
      <c r="I538" s="19" t="s">
        <v>3102</v>
      </c>
      <c r="J538" s="19" t="s">
        <v>51</v>
      </c>
      <c r="K538" s="19" t="s">
        <v>1340</v>
      </c>
      <c r="L538" s="19" t="s">
        <v>1341</v>
      </c>
      <c r="M538" s="19" t="s">
        <v>47</v>
      </c>
      <c r="N538" s="19" t="s">
        <v>1657</v>
      </c>
      <c r="O538" s="19" t="s">
        <v>2060</v>
      </c>
    </row>
    <row r="539" customFormat="false" ht="22.35" hidden="false" customHeight="false" outlineLevel="0" collapsed="false">
      <c r="A539" s="19" t="s">
        <v>3103</v>
      </c>
      <c r="B539" s="19" t="s">
        <v>47</v>
      </c>
      <c r="C539" s="19" t="str">
        <f aca="false">IFERROR(INDEX('Agent Roster'!$B:$B,MATCH(B539,'Agent Roster'!$A:$A,0)),"UNASSIGNED")</f>
        <v>Founder / Operator (HUMAN)</v>
      </c>
      <c r="D539" s="19" t="str">
        <f aca="false">IFERROR(INDEX('Agent Roster'!$D:$D,MATCH(B539,'Agent Roster'!$A:$A,0)),"UNASSIGNED")</f>
        <v>Governance &amp; Meta-Tier</v>
      </c>
      <c r="E539" s="19" t="s">
        <v>3087</v>
      </c>
      <c r="F539" s="19" t="s">
        <v>3104</v>
      </c>
      <c r="G539" s="19" t="s">
        <v>1315</v>
      </c>
      <c r="H539" s="19" t="s">
        <v>3089</v>
      </c>
      <c r="I539" s="19" t="s">
        <v>3105</v>
      </c>
      <c r="J539" s="19" t="s">
        <v>51</v>
      </c>
      <c r="K539" s="19" t="s">
        <v>1345</v>
      </c>
      <c r="L539" s="19" t="s">
        <v>1346</v>
      </c>
      <c r="M539" s="19" t="s">
        <v>47</v>
      </c>
      <c r="N539" s="19" t="s">
        <v>1657</v>
      </c>
      <c r="O539" s="19" t="s">
        <v>2060</v>
      </c>
    </row>
    <row r="540" customFormat="false" ht="22.35" hidden="false" customHeight="false" outlineLevel="0" collapsed="false">
      <c r="A540" s="19" t="s">
        <v>3106</v>
      </c>
      <c r="B540" s="19" t="s">
        <v>47</v>
      </c>
      <c r="C540" s="19" t="str">
        <f aca="false">IFERROR(INDEX('Agent Roster'!$B:$B,MATCH(B540,'Agent Roster'!$A:$A,0)),"UNASSIGNED")</f>
        <v>Founder / Operator (HUMAN)</v>
      </c>
      <c r="D540" s="19" t="str">
        <f aca="false">IFERROR(INDEX('Agent Roster'!$D:$D,MATCH(B540,'Agent Roster'!$A:$A,0)),"UNASSIGNED")</f>
        <v>Governance &amp; Meta-Tier</v>
      </c>
      <c r="E540" s="19" t="s">
        <v>3087</v>
      </c>
      <c r="F540" s="19" t="s">
        <v>3107</v>
      </c>
      <c r="G540" s="19" t="s">
        <v>1315</v>
      </c>
      <c r="H540" s="19" t="s">
        <v>3089</v>
      </c>
      <c r="I540" s="19" t="s">
        <v>3108</v>
      </c>
      <c r="J540" s="19" t="s">
        <v>51</v>
      </c>
      <c r="K540" s="19" t="s">
        <v>1350</v>
      </c>
      <c r="L540" s="19" t="s">
        <v>1351</v>
      </c>
      <c r="M540" s="19" t="s">
        <v>47</v>
      </c>
      <c r="N540" s="19" t="s">
        <v>1657</v>
      </c>
      <c r="O540" s="19" t="s">
        <v>2060</v>
      </c>
    </row>
    <row r="541" customFormat="false" ht="22.35" hidden="false" customHeight="false" outlineLevel="0" collapsed="false">
      <c r="A541" s="19" t="s">
        <v>3109</v>
      </c>
      <c r="B541" s="19" t="s">
        <v>47</v>
      </c>
      <c r="C541" s="19" t="str">
        <f aca="false">IFERROR(INDEX('Agent Roster'!$B:$B,MATCH(B541,'Agent Roster'!$A:$A,0)),"UNASSIGNED")</f>
        <v>Founder / Operator (HUMAN)</v>
      </c>
      <c r="D541" s="19" t="str">
        <f aca="false">IFERROR(INDEX('Agent Roster'!$D:$D,MATCH(B541,'Agent Roster'!$A:$A,0)),"UNASSIGNED")</f>
        <v>Governance &amp; Meta-Tier</v>
      </c>
      <c r="E541" s="19" t="s">
        <v>3087</v>
      </c>
      <c r="F541" s="19" t="s">
        <v>3110</v>
      </c>
      <c r="G541" s="19" t="s">
        <v>1315</v>
      </c>
      <c r="H541" s="19" t="s">
        <v>3089</v>
      </c>
      <c r="I541" s="19" t="s">
        <v>3111</v>
      </c>
      <c r="J541" s="19" t="s">
        <v>51</v>
      </c>
      <c r="K541" s="19" t="s">
        <v>1355</v>
      </c>
      <c r="L541" s="19" t="s">
        <v>1356</v>
      </c>
      <c r="M541" s="19" t="s">
        <v>47</v>
      </c>
      <c r="N541" s="19" t="s">
        <v>1657</v>
      </c>
      <c r="O541" s="19" t="s">
        <v>2060</v>
      </c>
    </row>
    <row r="542" customFormat="false" ht="22.35" hidden="false" customHeight="false" outlineLevel="0" collapsed="false">
      <c r="A542" s="19" t="s">
        <v>3112</v>
      </c>
      <c r="B542" s="19" t="s">
        <v>47</v>
      </c>
      <c r="C542" s="19" t="str">
        <f aca="false">IFERROR(INDEX('Agent Roster'!$B:$B,MATCH(B542,'Agent Roster'!$A:$A,0)),"UNASSIGNED")</f>
        <v>Founder / Operator (HUMAN)</v>
      </c>
      <c r="D542" s="19" t="str">
        <f aca="false">IFERROR(INDEX('Agent Roster'!$D:$D,MATCH(B542,'Agent Roster'!$A:$A,0)),"UNASSIGNED")</f>
        <v>Governance &amp; Meta-Tier</v>
      </c>
      <c r="E542" s="19" t="s">
        <v>3087</v>
      </c>
      <c r="F542" s="19" t="s">
        <v>3113</v>
      </c>
      <c r="G542" s="19" t="s">
        <v>1315</v>
      </c>
      <c r="H542" s="19" t="s">
        <v>3089</v>
      </c>
      <c r="I542" s="19" t="s">
        <v>3114</v>
      </c>
      <c r="J542" s="19" t="s">
        <v>51</v>
      </c>
      <c r="K542" s="19" t="s">
        <v>1360</v>
      </c>
      <c r="L542" s="19" t="s">
        <v>1376</v>
      </c>
      <c r="M542" s="19" t="s">
        <v>1377</v>
      </c>
      <c r="N542" s="19" t="s">
        <v>1657</v>
      </c>
      <c r="O542" s="19" t="s">
        <v>2060</v>
      </c>
    </row>
    <row r="543" customFormat="false" ht="32.8" hidden="false" customHeight="false" outlineLevel="0" collapsed="false">
      <c r="A543" s="19" t="s">
        <v>3115</v>
      </c>
      <c r="B543" s="19" t="s">
        <v>47</v>
      </c>
      <c r="C543" s="19" t="str">
        <f aca="false">IFERROR(INDEX('Agent Roster'!$B:$B,MATCH(B543,'Agent Roster'!$A:$A,0)),"UNASSIGNED")</f>
        <v>Founder / Operator (HUMAN)</v>
      </c>
      <c r="D543" s="19" t="str">
        <f aca="false">IFERROR(INDEX('Agent Roster'!$D:$D,MATCH(B543,'Agent Roster'!$A:$A,0)),"UNASSIGNED")</f>
        <v>Governance &amp; Meta-Tier</v>
      </c>
      <c r="E543" s="19" t="s">
        <v>3116</v>
      </c>
      <c r="F543" s="19" t="s">
        <v>3117</v>
      </c>
      <c r="G543" s="19" t="s">
        <v>1315</v>
      </c>
      <c r="H543" s="19" t="s">
        <v>3118</v>
      </c>
      <c r="I543" s="19" t="s">
        <v>3119</v>
      </c>
      <c r="J543" s="19" t="s">
        <v>51</v>
      </c>
      <c r="K543" s="19" t="s">
        <v>1319</v>
      </c>
      <c r="L543" s="19" t="s">
        <v>1320</v>
      </c>
      <c r="M543" s="19" t="s">
        <v>47</v>
      </c>
      <c r="N543" s="19" t="s">
        <v>1657</v>
      </c>
      <c r="O543" s="19" t="s">
        <v>2060</v>
      </c>
    </row>
    <row r="544" customFormat="false" ht="22.35" hidden="false" customHeight="false" outlineLevel="0" collapsed="false">
      <c r="A544" s="19" t="s">
        <v>3120</v>
      </c>
      <c r="B544" s="19" t="s">
        <v>47</v>
      </c>
      <c r="C544" s="19" t="str">
        <f aca="false">IFERROR(INDEX('Agent Roster'!$B:$B,MATCH(B544,'Agent Roster'!$A:$A,0)),"UNASSIGNED")</f>
        <v>Founder / Operator (HUMAN)</v>
      </c>
      <c r="D544" s="19" t="str">
        <f aca="false">IFERROR(INDEX('Agent Roster'!$D:$D,MATCH(B544,'Agent Roster'!$A:$A,0)),"UNASSIGNED")</f>
        <v>Governance &amp; Meta-Tier</v>
      </c>
      <c r="E544" s="19" t="s">
        <v>3116</v>
      </c>
      <c r="F544" s="19" t="s">
        <v>3121</v>
      </c>
      <c r="G544" s="19" t="s">
        <v>1315</v>
      </c>
      <c r="H544" s="19" t="s">
        <v>3118</v>
      </c>
      <c r="I544" s="19" t="s">
        <v>3122</v>
      </c>
      <c r="J544" s="19" t="s">
        <v>51</v>
      </c>
      <c r="K544" s="19" t="s">
        <v>1325</v>
      </c>
      <c r="L544" s="19" t="s">
        <v>1326</v>
      </c>
      <c r="M544" s="19" t="s">
        <v>47</v>
      </c>
      <c r="N544" s="19" t="s">
        <v>1657</v>
      </c>
      <c r="O544" s="19" t="s">
        <v>2060</v>
      </c>
    </row>
    <row r="545" customFormat="false" ht="22.35" hidden="false" customHeight="false" outlineLevel="0" collapsed="false">
      <c r="A545" s="19" t="s">
        <v>3123</v>
      </c>
      <c r="B545" s="19" t="s">
        <v>47</v>
      </c>
      <c r="C545" s="19" t="str">
        <f aca="false">IFERROR(INDEX('Agent Roster'!$B:$B,MATCH(B545,'Agent Roster'!$A:$A,0)),"UNASSIGNED")</f>
        <v>Founder / Operator (HUMAN)</v>
      </c>
      <c r="D545" s="19" t="str">
        <f aca="false">IFERROR(INDEX('Agent Roster'!$D:$D,MATCH(B545,'Agent Roster'!$A:$A,0)),"UNASSIGNED")</f>
        <v>Governance &amp; Meta-Tier</v>
      </c>
      <c r="E545" s="19" t="s">
        <v>3116</v>
      </c>
      <c r="F545" s="19" t="s">
        <v>3124</v>
      </c>
      <c r="G545" s="19" t="s">
        <v>1315</v>
      </c>
      <c r="H545" s="19" t="s">
        <v>3118</v>
      </c>
      <c r="I545" s="19" t="s">
        <v>3125</v>
      </c>
      <c r="J545" s="19" t="s">
        <v>51</v>
      </c>
      <c r="K545" s="19" t="s">
        <v>1330</v>
      </c>
      <c r="L545" s="19" t="s">
        <v>1331</v>
      </c>
      <c r="M545" s="19" t="s">
        <v>47</v>
      </c>
      <c r="N545" s="19" t="s">
        <v>1657</v>
      </c>
      <c r="O545" s="19" t="s">
        <v>2060</v>
      </c>
    </row>
    <row r="546" customFormat="false" ht="32.8" hidden="false" customHeight="false" outlineLevel="0" collapsed="false">
      <c r="A546" s="19" t="s">
        <v>3126</v>
      </c>
      <c r="B546" s="19" t="s">
        <v>47</v>
      </c>
      <c r="C546" s="19" t="str">
        <f aca="false">IFERROR(INDEX('Agent Roster'!$B:$B,MATCH(B546,'Agent Roster'!$A:$A,0)),"UNASSIGNED")</f>
        <v>Founder / Operator (HUMAN)</v>
      </c>
      <c r="D546" s="19" t="str">
        <f aca="false">IFERROR(INDEX('Agent Roster'!$D:$D,MATCH(B546,'Agent Roster'!$A:$A,0)),"UNASSIGNED")</f>
        <v>Governance &amp; Meta-Tier</v>
      </c>
      <c r="E546" s="19" t="s">
        <v>3116</v>
      </c>
      <c r="F546" s="19" t="s">
        <v>3127</v>
      </c>
      <c r="G546" s="19" t="s">
        <v>1315</v>
      </c>
      <c r="H546" s="19" t="s">
        <v>3118</v>
      </c>
      <c r="I546" s="19" t="s">
        <v>3128</v>
      </c>
      <c r="J546" s="19" t="s">
        <v>51</v>
      </c>
      <c r="K546" s="19" t="s">
        <v>1335</v>
      </c>
      <c r="L546" s="19" t="s">
        <v>1336</v>
      </c>
      <c r="M546" s="19" t="s">
        <v>47</v>
      </c>
      <c r="N546" s="19" t="s">
        <v>1657</v>
      </c>
      <c r="O546" s="19" t="s">
        <v>2060</v>
      </c>
    </row>
    <row r="547" customFormat="false" ht="22.35" hidden="false" customHeight="false" outlineLevel="0" collapsed="false">
      <c r="A547" s="19" t="s">
        <v>3129</v>
      </c>
      <c r="B547" s="19" t="s">
        <v>47</v>
      </c>
      <c r="C547" s="19" t="str">
        <f aca="false">IFERROR(INDEX('Agent Roster'!$B:$B,MATCH(B547,'Agent Roster'!$A:$A,0)),"UNASSIGNED")</f>
        <v>Founder / Operator (HUMAN)</v>
      </c>
      <c r="D547" s="19" t="str">
        <f aca="false">IFERROR(INDEX('Agent Roster'!$D:$D,MATCH(B547,'Agent Roster'!$A:$A,0)),"UNASSIGNED")</f>
        <v>Governance &amp; Meta-Tier</v>
      </c>
      <c r="E547" s="19" t="s">
        <v>3116</v>
      </c>
      <c r="F547" s="19" t="s">
        <v>3130</v>
      </c>
      <c r="G547" s="19" t="s">
        <v>1315</v>
      </c>
      <c r="H547" s="19" t="s">
        <v>3118</v>
      </c>
      <c r="I547" s="19" t="s">
        <v>3131</v>
      </c>
      <c r="J547" s="19" t="s">
        <v>51</v>
      </c>
      <c r="K547" s="19" t="s">
        <v>1340</v>
      </c>
      <c r="L547" s="19" t="s">
        <v>1341</v>
      </c>
      <c r="M547" s="19" t="s">
        <v>47</v>
      </c>
      <c r="N547" s="19" t="s">
        <v>1657</v>
      </c>
      <c r="O547" s="19" t="s">
        <v>2060</v>
      </c>
    </row>
    <row r="548" customFormat="false" ht="22.35" hidden="false" customHeight="false" outlineLevel="0" collapsed="false">
      <c r="A548" s="19" t="s">
        <v>3132</v>
      </c>
      <c r="B548" s="19" t="s">
        <v>47</v>
      </c>
      <c r="C548" s="19" t="str">
        <f aca="false">IFERROR(INDEX('Agent Roster'!$B:$B,MATCH(B548,'Agent Roster'!$A:$A,0)),"UNASSIGNED")</f>
        <v>Founder / Operator (HUMAN)</v>
      </c>
      <c r="D548" s="19" t="str">
        <f aca="false">IFERROR(INDEX('Agent Roster'!$D:$D,MATCH(B548,'Agent Roster'!$A:$A,0)),"UNASSIGNED")</f>
        <v>Governance &amp; Meta-Tier</v>
      </c>
      <c r="E548" s="19" t="s">
        <v>3116</v>
      </c>
      <c r="F548" s="19" t="s">
        <v>3133</v>
      </c>
      <c r="G548" s="19" t="s">
        <v>1315</v>
      </c>
      <c r="H548" s="19" t="s">
        <v>3118</v>
      </c>
      <c r="I548" s="19" t="s">
        <v>3134</v>
      </c>
      <c r="J548" s="19" t="s">
        <v>51</v>
      </c>
      <c r="K548" s="19" t="s">
        <v>1345</v>
      </c>
      <c r="L548" s="19" t="s">
        <v>1346</v>
      </c>
      <c r="M548" s="19" t="s">
        <v>47</v>
      </c>
      <c r="N548" s="19" t="s">
        <v>1657</v>
      </c>
      <c r="O548" s="19" t="s">
        <v>2060</v>
      </c>
    </row>
    <row r="549" customFormat="false" ht="22.35" hidden="false" customHeight="false" outlineLevel="0" collapsed="false">
      <c r="A549" s="19" t="s">
        <v>3135</v>
      </c>
      <c r="B549" s="19" t="s">
        <v>47</v>
      </c>
      <c r="C549" s="19" t="str">
        <f aca="false">IFERROR(INDEX('Agent Roster'!$B:$B,MATCH(B549,'Agent Roster'!$A:$A,0)),"UNASSIGNED")</f>
        <v>Founder / Operator (HUMAN)</v>
      </c>
      <c r="D549" s="19" t="str">
        <f aca="false">IFERROR(INDEX('Agent Roster'!$D:$D,MATCH(B549,'Agent Roster'!$A:$A,0)),"UNASSIGNED")</f>
        <v>Governance &amp; Meta-Tier</v>
      </c>
      <c r="E549" s="19" t="s">
        <v>3116</v>
      </c>
      <c r="F549" s="19" t="s">
        <v>3136</v>
      </c>
      <c r="G549" s="19" t="s">
        <v>1315</v>
      </c>
      <c r="H549" s="19" t="s">
        <v>3118</v>
      </c>
      <c r="I549" s="19" t="s">
        <v>3137</v>
      </c>
      <c r="J549" s="19" t="s">
        <v>51</v>
      </c>
      <c r="K549" s="19" t="s">
        <v>1350</v>
      </c>
      <c r="L549" s="19" t="s">
        <v>1351</v>
      </c>
      <c r="M549" s="19" t="s">
        <v>47</v>
      </c>
      <c r="N549" s="19" t="s">
        <v>1657</v>
      </c>
      <c r="O549" s="19" t="s">
        <v>2060</v>
      </c>
    </row>
    <row r="550" customFormat="false" ht="22.35" hidden="false" customHeight="false" outlineLevel="0" collapsed="false">
      <c r="A550" s="19" t="s">
        <v>3138</v>
      </c>
      <c r="B550" s="19" t="s">
        <v>47</v>
      </c>
      <c r="C550" s="19" t="str">
        <f aca="false">IFERROR(INDEX('Agent Roster'!$B:$B,MATCH(B550,'Agent Roster'!$A:$A,0)),"UNASSIGNED")</f>
        <v>Founder / Operator (HUMAN)</v>
      </c>
      <c r="D550" s="19" t="str">
        <f aca="false">IFERROR(INDEX('Agent Roster'!$D:$D,MATCH(B550,'Agent Roster'!$A:$A,0)),"UNASSIGNED")</f>
        <v>Governance &amp; Meta-Tier</v>
      </c>
      <c r="E550" s="19" t="s">
        <v>3116</v>
      </c>
      <c r="F550" s="19" t="s">
        <v>3139</v>
      </c>
      <c r="G550" s="19" t="s">
        <v>1315</v>
      </c>
      <c r="H550" s="19" t="s">
        <v>3118</v>
      </c>
      <c r="I550" s="19" t="s">
        <v>3140</v>
      </c>
      <c r="J550" s="19" t="s">
        <v>51</v>
      </c>
      <c r="K550" s="19" t="s">
        <v>1355</v>
      </c>
      <c r="L550" s="19" t="s">
        <v>1356</v>
      </c>
      <c r="M550" s="19" t="s">
        <v>47</v>
      </c>
      <c r="N550" s="19" t="s">
        <v>1657</v>
      </c>
      <c r="O550" s="19" t="s">
        <v>2060</v>
      </c>
    </row>
    <row r="551" customFormat="false" ht="22.35" hidden="false" customHeight="false" outlineLevel="0" collapsed="false">
      <c r="A551" s="19" t="s">
        <v>3141</v>
      </c>
      <c r="B551" s="19" t="s">
        <v>47</v>
      </c>
      <c r="C551" s="19" t="str">
        <f aca="false">IFERROR(INDEX('Agent Roster'!$B:$B,MATCH(B551,'Agent Roster'!$A:$A,0)),"UNASSIGNED")</f>
        <v>Founder / Operator (HUMAN)</v>
      </c>
      <c r="D551" s="19" t="str">
        <f aca="false">IFERROR(INDEX('Agent Roster'!$D:$D,MATCH(B551,'Agent Roster'!$A:$A,0)),"UNASSIGNED")</f>
        <v>Governance &amp; Meta-Tier</v>
      </c>
      <c r="E551" s="19" t="s">
        <v>3116</v>
      </c>
      <c r="F551" s="19" t="s">
        <v>3142</v>
      </c>
      <c r="G551" s="19" t="s">
        <v>1315</v>
      </c>
      <c r="H551" s="19" t="s">
        <v>3118</v>
      </c>
      <c r="I551" s="19" t="s">
        <v>3143</v>
      </c>
      <c r="J551" s="19" t="s">
        <v>51</v>
      </c>
      <c r="K551" s="19" t="s">
        <v>1360</v>
      </c>
      <c r="L551" s="19" t="s">
        <v>1376</v>
      </c>
      <c r="M551" s="19" t="s">
        <v>1377</v>
      </c>
      <c r="N551" s="19" t="s">
        <v>1657</v>
      </c>
      <c r="O551" s="19" t="s">
        <v>2060</v>
      </c>
    </row>
    <row r="552" customFormat="false" ht="22.35" hidden="false" customHeight="false" outlineLevel="0" collapsed="false">
      <c r="A552" s="19" t="s">
        <v>3144</v>
      </c>
      <c r="B552" s="19" t="s">
        <v>357</v>
      </c>
      <c r="C552" s="19" t="str">
        <f aca="false">IFERROR(INDEX('Agent Roster'!$B:$B,MATCH(B552,'Agent Roster'!$A:$A,0)),"UNASSIGNED")</f>
        <v>Pattern Recognition Agent</v>
      </c>
      <c r="D552" s="19" t="str">
        <f aca="false">IFERROR(INDEX('Agent Roster'!$D:$D,MATCH(B552,'Agent Roster'!$A:$A,0)),"UNASSIGNED")</f>
        <v>Orchestration &amp; Diagnostics</v>
      </c>
      <c r="E552" s="19" t="s">
        <v>3145</v>
      </c>
      <c r="F552" s="19" t="s">
        <v>3146</v>
      </c>
      <c r="G552" s="19" t="s">
        <v>1315</v>
      </c>
      <c r="H552" s="19" t="s">
        <v>360</v>
      </c>
      <c r="I552" s="19" t="s">
        <v>3147</v>
      </c>
      <c r="J552" s="19" t="s">
        <v>1139</v>
      </c>
      <c r="K552" s="19" t="s">
        <v>1319</v>
      </c>
      <c r="L552" s="19" t="s">
        <v>1320</v>
      </c>
      <c r="M552" s="19" t="s">
        <v>357</v>
      </c>
      <c r="N552" s="19"/>
      <c r="O552" s="19" t="s">
        <v>1321</v>
      </c>
    </row>
    <row r="553" customFormat="false" ht="22.35" hidden="false" customHeight="false" outlineLevel="0" collapsed="false">
      <c r="A553" s="19" t="s">
        <v>3148</v>
      </c>
      <c r="B553" s="19" t="s">
        <v>357</v>
      </c>
      <c r="C553" s="19" t="str">
        <f aca="false">IFERROR(INDEX('Agent Roster'!$B:$B,MATCH(B553,'Agent Roster'!$A:$A,0)),"UNASSIGNED")</f>
        <v>Pattern Recognition Agent</v>
      </c>
      <c r="D553" s="19" t="str">
        <f aca="false">IFERROR(INDEX('Agent Roster'!$D:$D,MATCH(B553,'Agent Roster'!$A:$A,0)),"UNASSIGNED")</f>
        <v>Orchestration &amp; Diagnostics</v>
      </c>
      <c r="E553" s="19" t="s">
        <v>3145</v>
      </c>
      <c r="F553" s="19" t="s">
        <v>3149</v>
      </c>
      <c r="G553" s="19" t="s">
        <v>1315</v>
      </c>
      <c r="H553" s="19" t="s">
        <v>360</v>
      </c>
      <c r="I553" s="19" t="s">
        <v>3150</v>
      </c>
      <c r="J553" s="19" t="s">
        <v>1139</v>
      </c>
      <c r="K553" s="19" t="s">
        <v>1325</v>
      </c>
      <c r="L553" s="19" t="s">
        <v>1326</v>
      </c>
      <c r="M553" s="19" t="s">
        <v>357</v>
      </c>
      <c r="N553" s="19"/>
      <c r="O553" s="19" t="s">
        <v>1321</v>
      </c>
    </row>
    <row r="554" customFormat="false" ht="22.35" hidden="false" customHeight="false" outlineLevel="0" collapsed="false">
      <c r="A554" s="19" t="s">
        <v>3151</v>
      </c>
      <c r="B554" s="19" t="s">
        <v>357</v>
      </c>
      <c r="C554" s="19" t="str">
        <f aca="false">IFERROR(INDEX('Agent Roster'!$B:$B,MATCH(B554,'Agent Roster'!$A:$A,0)),"UNASSIGNED")</f>
        <v>Pattern Recognition Agent</v>
      </c>
      <c r="D554" s="19" t="str">
        <f aca="false">IFERROR(INDEX('Agent Roster'!$D:$D,MATCH(B554,'Agent Roster'!$A:$A,0)),"UNASSIGNED")</f>
        <v>Orchestration &amp; Diagnostics</v>
      </c>
      <c r="E554" s="19" t="s">
        <v>3145</v>
      </c>
      <c r="F554" s="19" t="s">
        <v>3152</v>
      </c>
      <c r="G554" s="19" t="s">
        <v>1315</v>
      </c>
      <c r="H554" s="19" t="s">
        <v>360</v>
      </c>
      <c r="I554" s="19" t="s">
        <v>3153</v>
      </c>
      <c r="J554" s="19" t="s">
        <v>1139</v>
      </c>
      <c r="K554" s="19" t="s">
        <v>1330</v>
      </c>
      <c r="L554" s="19" t="s">
        <v>1331</v>
      </c>
      <c r="M554" s="19" t="s">
        <v>357</v>
      </c>
      <c r="N554" s="19"/>
      <c r="O554" s="19" t="s">
        <v>1321</v>
      </c>
    </row>
    <row r="555" customFormat="false" ht="22.35" hidden="false" customHeight="false" outlineLevel="0" collapsed="false">
      <c r="A555" s="19" t="s">
        <v>3154</v>
      </c>
      <c r="B555" s="19" t="s">
        <v>357</v>
      </c>
      <c r="C555" s="19" t="str">
        <f aca="false">IFERROR(INDEX('Agent Roster'!$B:$B,MATCH(B555,'Agent Roster'!$A:$A,0)),"UNASSIGNED")</f>
        <v>Pattern Recognition Agent</v>
      </c>
      <c r="D555" s="19" t="str">
        <f aca="false">IFERROR(INDEX('Agent Roster'!$D:$D,MATCH(B555,'Agent Roster'!$A:$A,0)),"UNASSIGNED")</f>
        <v>Orchestration &amp; Diagnostics</v>
      </c>
      <c r="E555" s="19" t="s">
        <v>3145</v>
      </c>
      <c r="F555" s="19" t="s">
        <v>3155</v>
      </c>
      <c r="G555" s="19" t="s">
        <v>1315</v>
      </c>
      <c r="H555" s="19" t="s">
        <v>360</v>
      </c>
      <c r="I555" s="19" t="s">
        <v>3156</v>
      </c>
      <c r="J555" s="19" t="s">
        <v>1139</v>
      </c>
      <c r="K555" s="19" t="s">
        <v>1335</v>
      </c>
      <c r="L555" s="19" t="s">
        <v>1336</v>
      </c>
      <c r="M555" s="19" t="s">
        <v>357</v>
      </c>
      <c r="N555" s="19"/>
      <c r="O555" s="19" t="s">
        <v>1321</v>
      </c>
    </row>
    <row r="556" customFormat="false" ht="22.35" hidden="false" customHeight="false" outlineLevel="0" collapsed="false">
      <c r="A556" s="19" t="s">
        <v>3157</v>
      </c>
      <c r="B556" s="19" t="s">
        <v>357</v>
      </c>
      <c r="C556" s="19" t="str">
        <f aca="false">IFERROR(INDEX('Agent Roster'!$B:$B,MATCH(B556,'Agent Roster'!$A:$A,0)),"UNASSIGNED")</f>
        <v>Pattern Recognition Agent</v>
      </c>
      <c r="D556" s="19" t="str">
        <f aca="false">IFERROR(INDEX('Agent Roster'!$D:$D,MATCH(B556,'Agent Roster'!$A:$A,0)),"UNASSIGNED")</f>
        <v>Orchestration &amp; Diagnostics</v>
      </c>
      <c r="E556" s="19" t="s">
        <v>3145</v>
      </c>
      <c r="F556" s="19" t="s">
        <v>3158</v>
      </c>
      <c r="G556" s="19" t="s">
        <v>1315</v>
      </c>
      <c r="H556" s="19" t="s">
        <v>360</v>
      </c>
      <c r="I556" s="19" t="s">
        <v>3159</v>
      </c>
      <c r="J556" s="19" t="s">
        <v>1139</v>
      </c>
      <c r="K556" s="19" t="s">
        <v>1340</v>
      </c>
      <c r="L556" s="19" t="s">
        <v>1341</v>
      </c>
      <c r="M556" s="19" t="s">
        <v>357</v>
      </c>
      <c r="N556" s="19"/>
      <c r="O556" s="19" t="s">
        <v>1321</v>
      </c>
    </row>
    <row r="557" customFormat="false" ht="22.35" hidden="false" customHeight="false" outlineLevel="0" collapsed="false">
      <c r="A557" s="19" t="s">
        <v>3160</v>
      </c>
      <c r="B557" s="19" t="s">
        <v>357</v>
      </c>
      <c r="C557" s="19" t="str">
        <f aca="false">IFERROR(INDEX('Agent Roster'!$B:$B,MATCH(B557,'Agent Roster'!$A:$A,0)),"UNASSIGNED")</f>
        <v>Pattern Recognition Agent</v>
      </c>
      <c r="D557" s="19" t="str">
        <f aca="false">IFERROR(INDEX('Agent Roster'!$D:$D,MATCH(B557,'Agent Roster'!$A:$A,0)),"UNASSIGNED")</f>
        <v>Orchestration &amp; Diagnostics</v>
      </c>
      <c r="E557" s="19" t="s">
        <v>3145</v>
      </c>
      <c r="F557" s="19" t="s">
        <v>3161</v>
      </c>
      <c r="G557" s="19" t="s">
        <v>1315</v>
      </c>
      <c r="H557" s="19" t="s">
        <v>360</v>
      </c>
      <c r="I557" s="19" t="s">
        <v>3162</v>
      </c>
      <c r="J557" s="19" t="s">
        <v>1139</v>
      </c>
      <c r="K557" s="19" t="s">
        <v>1345</v>
      </c>
      <c r="L557" s="19" t="s">
        <v>1346</v>
      </c>
      <c r="M557" s="19" t="s">
        <v>357</v>
      </c>
      <c r="N557" s="19"/>
      <c r="O557" s="19" t="s">
        <v>1321</v>
      </c>
    </row>
    <row r="558" customFormat="false" ht="22.35" hidden="false" customHeight="false" outlineLevel="0" collapsed="false">
      <c r="A558" s="19" t="s">
        <v>3163</v>
      </c>
      <c r="B558" s="19" t="s">
        <v>357</v>
      </c>
      <c r="C558" s="19" t="str">
        <f aca="false">IFERROR(INDEX('Agent Roster'!$B:$B,MATCH(B558,'Agent Roster'!$A:$A,0)),"UNASSIGNED")</f>
        <v>Pattern Recognition Agent</v>
      </c>
      <c r="D558" s="19" t="str">
        <f aca="false">IFERROR(INDEX('Agent Roster'!$D:$D,MATCH(B558,'Agent Roster'!$A:$A,0)),"UNASSIGNED")</f>
        <v>Orchestration &amp; Diagnostics</v>
      </c>
      <c r="E558" s="19" t="s">
        <v>3145</v>
      </c>
      <c r="F558" s="19" t="s">
        <v>3164</v>
      </c>
      <c r="G558" s="19" t="s">
        <v>1315</v>
      </c>
      <c r="H558" s="19" t="s">
        <v>360</v>
      </c>
      <c r="I558" s="19" t="s">
        <v>3165</v>
      </c>
      <c r="J558" s="19" t="s">
        <v>1139</v>
      </c>
      <c r="K558" s="19" t="s">
        <v>1350</v>
      </c>
      <c r="L558" s="19" t="s">
        <v>1376</v>
      </c>
      <c r="M558" s="19" t="s">
        <v>1377</v>
      </c>
      <c r="N558" s="19"/>
      <c r="O558" s="19" t="s">
        <v>1321</v>
      </c>
    </row>
    <row r="559" customFormat="false" ht="22.35" hidden="false" customHeight="false" outlineLevel="0" collapsed="false">
      <c r="A559" s="19" t="s">
        <v>3166</v>
      </c>
      <c r="B559" s="19" t="s">
        <v>368</v>
      </c>
      <c r="C559" s="19" t="str">
        <f aca="false">IFERROR(INDEX('Agent Roster'!$B:$B,MATCH(B559,'Agent Roster'!$A:$A,0)),"UNASSIGNED")</f>
        <v>Synthesis Agent</v>
      </c>
      <c r="D559" s="19" t="str">
        <f aca="false">IFERROR(INDEX('Agent Roster'!$D:$D,MATCH(B559,'Agent Roster'!$A:$A,0)),"UNASSIGNED")</f>
        <v>Orchestration &amp; Diagnostics</v>
      </c>
      <c r="E559" s="19" t="s">
        <v>3167</v>
      </c>
      <c r="F559" s="19" t="s">
        <v>3168</v>
      </c>
      <c r="G559" s="19" t="s">
        <v>1315</v>
      </c>
      <c r="H559" s="19" t="s">
        <v>371</v>
      </c>
      <c r="I559" s="19" t="s">
        <v>3169</v>
      </c>
      <c r="J559" s="19" t="s">
        <v>3170</v>
      </c>
      <c r="K559" s="19" t="s">
        <v>1319</v>
      </c>
      <c r="L559" s="19" t="s">
        <v>1320</v>
      </c>
      <c r="M559" s="19" t="s">
        <v>368</v>
      </c>
      <c r="N559" s="19"/>
      <c r="O559" s="19" t="s">
        <v>1321</v>
      </c>
    </row>
    <row r="560" customFormat="false" ht="22.35" hidden="false" customHeight="false" outlineLevel="0" collapsed="false">
      <c r="A560" s="19" t="s">
        <v>3171</v>
      </c>
      <c r="B560" s="19" t="s">
        <v>368</v>
      </c>
      <c r="C560" s="19" t="str">
        <f aca="false">IFERROR(INDEX('Agent Roster'!$B:$B,MATCH(B560,'Agent Roster'!$A:$A,0)),"UNASSIGNED")</f>
        <v>Synthesis Agent</v>
      </c>
      <c r="D560" s="19" t="str">
        <f aca="false">IFERROR(INDEX('Agent Roster'!$D:$D,MATCH(B560,'Agent Roster'!$A:$A,0)),"UNASSIGNED")</f>
        <v>Orchestration &amp; Diagnostics</v>
      </c>
      <c r="E560" s="19" t="s">
        <v>3167</v>
      </c>
      <c r="F560" s="19" t="s">
        <v>3172</v>
      </c>
      <c r="G560" s="19" t="s">
        <v>1315</v>
      </c>
      <c r="H560" s="19" t="s">
        <v>371</v>
      </c>
      <c r="I560" s="19" t="s">
        <v>3173</v>
      </c>
      <c r="J560" s="19" t="s">
        <v>3170</v>
      </c>
      <c r="K560" s="19" t="s">
        <v>1325</v>
      </c>
      <c r="L560" s="19" t="s">
        <v>1326</v>
      </c>
      <c r="M560" s="19" t="s">
        <v>368</v>
      </c>
      <c r="N560" s="19"/>
      <c r="O560" s="19" t="s">
        <v>1321</v>
      </c>
    </row>
    <row r="561" customFormat="false" ht="22.35" hidden="false" customHeight="false" outlineLevel="0" collapsed="false">
      <c r="A561" s="19" t="s">
        <v>3174</v>
      </c>
      <c r="B561" s="19" t="s">
        <v>368</v>
      </c>
      <c r="C561" s="19" t="str">
        <f aca="false">IFERROR(INDEX('Agent Roster'!$B:$B,MATCH(B561,'Agent Roster'!$A:$A,0)),"UNASSIGNED")</f>
        <v>Synthesis Agent</v>
      </c>
      <c r="D561" s="19" t="str">
        <f aca="false">IFERROR(INDEX('Agent Roster'!$D:$D,MATCH(B561,'Agent Roster'!$A:$A,0)),"UNASSIGNED")</f>
        <v>Orchestration &amp; Diagnostics</v>
      </c>
      <c r="E561" s="19" t="s">
        <v>3167</v>
      </c>
      <c r="F561" s="19" t="s">
        <v>3175</v>
      </c>
      <c r="G561" s="19" t="s">
        <v>1315</v>
      </c>
      <c r="H561" s="19" t="s">
        <v>371</v>
      </c>
      <c r="I561" s="19" t="s">
        <v>3176</v>
      </c>
      <c r="J561" s="19" t="s">
        <v>3170</v>
      </c>
      <c r="K561" s="19" t="s">
        <v>1330</v>
      </c>
      <c r="L561" s="19" t="s">
        <v>1331</v>
      </c>
      <c r="M561" s="19" t="s">
        <v>368</v>
      </c>
      <c r="N561" s="19"/>
      <c r="O561" s="19" t="s">
        <v>1321</v>
      </c>
    </row>
    <row r="562" customFormat="false" ht="22.35" hidden="false" customHeight="false" outlineLevel="0" collapsed="false">
      <c r="A562" s="19" t="s">
        <v>3177</v>
      </c>
      <c r="B562" s="19" t="s">
        <v>368</v>
      </c>
      <c r="C562" s="19" t="str">
        <f aca="false">IFERROR(INDEX('Agent Roster'!$B:$B,MATCH(B562,'Agent Roster'!$A:$A,0)),"UNASSIGNED")</f>
        <v>Synthesis Agent</v>
      </c>
      <c r="D562" s="19" t="str">
        <f aca="false">IFERROR(INDEX('Agent Roster'!$D:$D,MATCH(B562,'Agent Roster'!$A:$A,0)),"UNASSIGNED")</f>
        <v>Orchestration &amp; Diagnostics</v>
      </c>
      <c r="E562" s="19" t="s">
        <v>3167</v>
      </c>
      <c r="F562" s="19" t="s">
        <v>3178</v>
      </c>
      <c r="G562" s="19" t="s">
        <v>1315</v>
      </c>
      <c r="H562" s="19" t="s">
        <v>371</v>
      </c>
      <c r="I562" s="19" t="s">
        <v>3179</v>
      </c>
      <c r="J562" s="19" t="s">
        <v>3170</v>
      </c>
      <c r="K562" s="19" t="s">
        <v>1335</v>
      </c>
      <c r="L562" s="19" t="s">
        <v>1336</v>
      </c>
      <c r="M562" s="19" t="s">
        <v>368</v>
      </c>
      <c r="N562" s="19"/>
      <c r="O562" s="19" t="s">
        <v>1321</v>
      </c>
    </row>
    <row r="563" customFormat="false" ht="22.35" hidden="false" customHeight="false" outlineLevel="0" collapsed="false">
      <c r="A563" s="19" t="s">
        <v>3180</v>
      </c>
      <c r="B563" s="19" t="s">
        <v>368</v>
      </c>
      <c r="C563" s="19" t="str">
        <f aca="false">IFERROR(INDEX('Agent Roster'!$B:$B,MATCH(B563,'Agent Roster'!$A:$A,0)),"UNASSIGNED")</f>
        <v>Synthesis Agent</v>
      </c>
      <c r="D563" s="19" t="str">
        <f aca="false">IFERROR(INDEX('Agent Roster'!$D:$D,MATCH(B563,'Agent Roster'!$A:$A,0)),"UNASSIGNED")</f>
        <v>Orchestration &amp; Diagnostics</v>
      </c>
      <c r="E563" s="19" t="s">
        <v>3167</v>
      </c>
      <c r="F563" s="19" t="s">
        <v>3181</v>
      </c>
      <c r="G563" s="19" t="s">
        <v>1315</v>
      </c>
      <c r="H563" s="19" t="s">
        <v>371</v>
      </c>
      <c r="I563" s="19" t="s">
        <v>3182</v>
      </c>
      <c r="J563" s="19" t="s">
        <v>3170</v>
      </c>
      <c r="K563" s="19" t="s">
        <v>1340</v>
      </c>
      <c r="L563" s="19" t="s">
        <v>1341</v>
      </c>
      <c r="M563" s="19" t="s">
        <v>368</v>
      </c>
      <c r="N563" s="19"/>
      <c r="O563" s="19" t="s">
        <v>1321</v>
      </c>
    </row>
    <row r="564" customFormat="false" ht="22.35" hidden="false" customHeight="false" outlineLevel="0" collapsed="false">
      <c r="A564" s="19" t="s">
        <v>3183</v>
      </c>
      <c r="B564" s="19" t="s">
        <v>368</v>
      </c>
      <c r="C564" s="19" t="str">
        <f aca="false">IFERROR(INDEX('Agent Roster'!$B:$B,MATCH(B564,'Agent Roster'!$A:$A,0)),"UNASSIGNED")</f>
        <v>Synthesis Agent</v>
      </c>
      <c r="D564" s="19" t="str">
        <f aca="false">IFERROR(INDEX('Agent Roster'!$D:$D,MATCH(B564,'Agent Roster'!$A:$A,0)),"UNASSIGNED")</f>
        <v>Orchestration &amp; Diagnostics</v>
      </c>
      <c r="E564" s="19" t="s">
        <v>3167</v>
      </c>
      <c r="F564" s="19" t="s">
        <v>3184</v>
      </c>
      <c r="G564" s="19" t="s">
        <v>1315</v>
      </c>
      <c r="H564" s="19" t="s">
        <v>371</v>
      </c>
      <c r="I564" s="19" t="s">
        <v>3185</v>
      </c>
      <c r="J564" s="19" t="s">
        <v>3170</v>
      </c>
      <c r="K564" s="19" t="s">
        <v>1345</v>
      </c>
      <c r="L564" s="19" t="s">
        <v>1346</v>
      </c>
      <c r="M564" s="19" t="s">
        <v>368</v>
      </c>
      <c r="N564" s="19"/>
      <c r="O564" s="19" t="s">
        <v>1321</v>
      </c>
    </row>
    <row r="565" customFormat="false" ht="22.35" hidden="false" customHeight="false" outlineLevel="0" collapsed="false">
      <c r="A565" s="19" t="s">
        <v>3186</v>
      </c>
      <c r="B565" s="19" t="s">
        <v>368</v>
      </c>
      <c r="C565" s="19" t="str">
        <f aca="false">IFERROR(INDEX('Agent Roster'!$B:$B,MATCH(B565,'Agent Roster'!$A:$A,0)),"UNASSIGNED")</f>
        <v>Synthesis Agent</v>
      </c>
      <c r="D565" s="19" t="str">
        <f aca="false">IFERROR(INDEX('Agent Roster'!$D:$D,MATCH(B565,'Agent Roster'!$A:$A,0)),"UNASSIGNED")</f>
        <v>Orchestration &amp; Diagnostics</v>
      </c>
      <c r="E565" s="19" t="s">
        <v>3167</v>
      </c>
      <c r="F565" s="19" t="s">
        <v>3187</v>
      </c>
      <c r="G565" s="19" t="s">
        <v>1315</v>
      </c>
      <c r="H565" s="19" t="s">
        <v>371</v>
      </c>
      <c r="I565" s="19" t="s">
        <v>3188</v>
      </c>
      <c r="J565" s="19" t="s">
        <v>3170</v>
      </c>
      <c r="K565" s="19" t="s">
        <v>1350</v>
      </c>
      <c r="L565" s="19" t="s">
        <v>1351</v>
      </c>
      <c r="M565" s="19" t="s">
        <v>368</v>
      </c>
      <c r="N565" s="19"/>
      <c r="O565" s="19" t="s">
        <v>1321</v>
      </c>
    </row>
    <row r="566" customFormat="false" ht="22.35" hidden="false" customHeight="false" outlineLevel="0" collapsed="false">
      <c r="A566" s="19" t="s">
        <v>3189</v>
      </c>
      <c r="B566" s="19" t="s">
        <v>368</v>
      </c>
      <c r="C566" s="19" t="str">
        <f aca="false">IFERROR(INDEX('Agent Roster'!$B:$B,MATCH(B566,'Agent Roster'!$A:$A,0)),"UNASSIGNED")</f>
        <v>Synthesis Agent</v>
      </c>
      <c r="D566" s="19" t="str">
        <f aca="false">IFERROR(INDEX('Agent Roster'!$D:$D,MATCH(B566,'Agent Roster'!$A:$A,0)),"UNASSIGNED")</f>
        <v>Orchestration &amp; Diagnostics</v>
      </c>
      <c r="E566" s="19" t="s">
        <v>3167</v>
      </c>
      <c r="F566" s="19" t="s">
        <v>3190</v>
      </c>
      <c r="G566" s="19" t="s">
        <v>1315</v>
      </c>
      <c r="H566" s="19" t="s">
        <v>371</v>
      </c>
      <c r="I566" s="19" t="s">
        <v>3191</v>
      </c>
      <c r="J566" s="19" t="s">
        <v>3170</v>
      </c>
      <c r="K566" s="19" t="s">
        <v>1355</v>
      </c>
      <c r="L566" s="19" t="s">
        <v>1376</v>
      </c>
      <c r="M566" s="19" t="s">
        <v>1377</v>
      </c>
      <c r="N566" s="19"/>
      <c r="O566" s="19" t="s">
        <v>1321</v>
      </c>
    </row>
    <row r="567" customFormat="false" ht="22.35" hidden="false" customHeight="false" outlineLevel="0" collapsed="false">
      <c r="A567" s="19" t="s">
        <v>3192</v>
      </c>
      <c r="B567" s="19" t="s">
        <v>797</v>
      </c>
      <c r="C567" s="19" t="str">
        <f aca="false">IFERROR(INDEX('Agent Roster'!$B:$B,MATCH(B567,'Agent Roster'!$A:$A,0)),"UNASSIGNED")</f>
        <v>Forecasting Agent</v>
      </c>
      <c r="D567" s="19" t="str">
        <f aca="false">IFERROR(INDEX('Agent Roster'!$D:$D,MATCH(B567,'Agent Roster'!$A:$A,0)),"UNASSIGNED")</f>
        <v>5 · Finance Hub</v>
      </c>
      <c r="E567" s="19" t="s">
        <v>3193</v>
      </c>
      <c r="F567" s="19" t="s">
        <v>3194</v>
      </c>
      <c r="G567" s="19" t="s">
        <v>1315</v>
      </c>
      <c r="H567" s="19" t="s">
        <v>800</v>
      </c>
      <c r="I567" s="19" t="s">
        <v>3195</v>
      </c>
      <c r="J567" s="19" t="s">
        <v>1139</v>
      </c>
      <c r="K567" s="19" t="s">
        <v>1319</v>
      </c>
      <c r="L567" s="19" t="s">
        <v>1320</v>
      </c>
      <c r="M567" s="19" t="s">
        <v>797</v>
      </c>
      <c r="N567" s="19"/>
      <c r="O567" s="19" t="s">
        <v>1321</v>
      </c>
    </row>
    <row r="568" customFormat="false" ht="22.35" hidden="false" customHeight="false" outlineLevel="0" collapsed="false">
      <c r="A568" s="19" t="s">
        <v>3196</v>
      </c>
      <c r="B568" s="19" t="s">
        <v>797</v>
      </c>
      <c r="C568" s="19" t="str">
        <f aca="false">IFERROR(INDEX('Agent Roster'!$B:$B,MATCH(B568,'Agent Roster'!$A:$A,0)),"UNASSIGNED")</f>
        <v>Forecasting Agent</v>
      </c>
      <c r="D568" s="19" t="str">
        <f aca="false">IFERROR(INDEX('Agent Roster'!$D:$D,MATCH(B568,'Agent Roster'!$A:$A,0)),"UNASSIGNED")</f>
        <v>5 · Finance Hub</v>
      </c>
      <c r="E568" s="19" t="s">
        <v>3193</v>
      </c>
      <c r="F568" s="19" t="s">
        <v>3197</v>
      </c>
      <c r="G568" s="19" t="s">
        <v>1315</v>
      </c>
      <c r="H568" s="19" t="s">
        <v>800</v>
      </c>
      <c r="I568" s="19" t="s">
        <v>3198</v>
      </c>
      <c r="J568" s="19" t="s">
        <v>1139</v>
      </c>
      <c r="K568" s="19" t="s">
        <v>1325</v>
      </c>
      <c r="L568" s="19" t="s">
        <v>1326</v>
      </c>
      <c r="M568" s="19" t="s">
        <v>797</v>
      </c>
      <c r="N568" s="19"/>
      <c r="O568" s="19" t="s">
        <v>1321</v>
      </c>
    </row>
    <row r="569" customFormat="false" ht="15" hidden="false" customHeight="false" outlineLevel="0" collapsed="false">
      <c r="A569" s="19" t="s">
        <v>3199</v>
      </c>
      <c r="B569" s="19" t="s">
        <v>797</v>
      </c>
      <c r="C569" s="19" t="str">
        <f aca="false">IFERROR(INDEX('Agent Roster'!$B:$B,MATCH(B569,'Agent Roster'!$A:$A,0)),"UNASSIGNED")</f>
        <v>Forecasting Agent</v>
      </c>
      <c r="D569" s="19" t="str">
        <f aca="false">IFERROR(INDEX('Agent Roster'!$D:$D,MATCH(B569,'Agent Roster'!$A:$A,0)),"UNASSIGNED")</f>
        <v>5 · Finance Hub</v>
      </c>
      <c r="E569" s="19" t="s">
        <v>3193</v>
      </c>
      <c r="F569" s="19" t="s">
        <v>3200</v>
      </c>
      <c r="G569" s="19" t="s">
        <v>1315</v>
      </c>
      <c r="H569" s="19" t="s">
        <v>800</v>
      </c>
      <c r="I569" s="19" t="s">
        <v>3201</v>
      </c>
      <c r="J569" s="19" t="s">
        <v>1139</v>
      </c>
      <c r="K569" s="19" t="s">
        <v>1330</v>
      </c>
      <c r="L569" s="19" t="s">
        <v>1331</v>
      </c>
      <c r="M569" s="19" t="s">
        <v>797</v>
      </c>
      <c r="N569" s="19"/>
      <c r="O569" s="19" t="s">
        <v>1321</v>
      </c>
    </row>
    <row r="570" customFormat="false" ht="15" hidden="false" customHeight="false" outlineLevel="0" collapsed="false">
      <c r="A570" s="19" t="s">
        <v>3202</v>
      </c>
      <c r="B570" s="19" t="s">
        <v>797</v>
      </c>
      <c r="C570" s="19" t="str">
        <f aca="false">IFERROR(INDEX('Agent Roster'!$B:$B,MATCH(B570,'Agent Roster'!$A:$A,0)),"UNASSIGNED")</f>
        <v>Forecasting Agent</v>
      </c>
      <c r="D570" s="19" t="str">
        <f aca="false">IFERROR(INDEX('Agent Roster'!$D:$D,MATCH(B570,'Agent Roster'!$A:$A,0)),"UNASSIGNED")</f>
        <v>5 · Finance Hub</v>
      </c>
      <c r="E570" s="19" t="s">
        <v>3193</v>
      </c>
      <c r="F570" s="19" t="s">
        <v>3203</v>
      </c>
      <c r="G570" s="19" t="s">
        <v>1315</v>
      </c>
      <c r="H570" s="19" t="s">
        <v>800</v>
      </c>
      <c r="I570" s="19" t="s">
        <v>3204</v>
      </c>
      <c r="J570" s="19" t="s">
        <v>1139</v>
      </c>
      <c r="K570" s="19" t="s">
        <v>1335</v>
      </c>
      <c r="L570" s="19" t="s">
        <v>1336</v>
      </c>
      <c r="M570" s="19" t="s">
        <v>797</v>
      </c>
      <c r="N570" s="19"/>
      <c r="O570" s="19" t="s">
        <v>1321</v>
      </c>
    </row>
    <row r="571" customFormat="false" ht="22.35" hidden="false" customHeight="false" outlineLevel="0" collapsed="false">
      <c r="A571" s="19" t="s">
        <v>3205</v>
      </c>
      <c r="B571" s="19" t="s">
        <v>797</v>
      </c>
      <c r="C571" s="19" t="str">
        <f aca="false">IFERROR(INDEX('Agent Roster'!$B:$B,MATCH(B571,'Agent Roster'!$A:$A,0)),"UNASSIGNED")</f>
        <v>Forecasting Agent</v>
      </c>
      <c r="D571" s="19" t="str">
        <f aca="false">IFERROR(INDEX('Agent Roster'!$D:$D,MATCH(B571,'Agent Roster'!$A:$A,0)),"UNASSIGNED")</f>
        <v>5 · Finance Hub</v>
      </c>
      <c r="E571" s="19" t="s">
        <v>3193</v>
      </c>
      <c r="F571" s="19" t="s">
        <v>3206</v>
      </c>
      <c r="G571" s="19" t="s">
        <v>1315</v>
      </c>
      <c r="H571" s="19" t="s">
        <v>800</v>
      </c>
      <c r="I571" s="19" t="s">
        <v>3207</v>
      </c>
      <c r="J571" s="19" t="s">
        <v>1139</v>
      </c>
      <c r="K571" s="19" t="s">
        <v>1340</v>
      </c>
      <c r="L571" s="19" t="s">
        <v>1341</v>
      </c>
      <c r="M571" s="19" t="s">
        <v>797</v>
      </c>
      <c r="N571" s="19"/>
      <c r="O571" s="19" t="s">
        <v>1321</v>
      </c>
    </row>
    <row r="572" customFormat="false" ht="22.35" hidden="false" customHeight="false" outlineLevel="0" collapsed="false">
      <c r="A572" s="19" t="s">
        <v>3208</v>
      </c>
      <c r="B572" s="19" t="s">
        <v>797</v>
      </c>
      <c r="C572" s="19" t="str">
        <f aca="false">IFERROR(INDEX('Agent Roster'!$B:$B,MATCH(B572,'Agent Roster'!$A:$A,0)),"UNASSIGNED")</f>
        <v>Forecasting Agent</v>
      </c>
      <c r="D572" s="19" t="str">
        <f aca="false">IFERROR(INDEX('Agent Roster'!$D:$D,MATCH(B572,'Agent Roster'!$A:$A,0)),"UNASSIGNED")</f>
        <v>5 · Finance Hub</v>
      </c>
      <c r="E572" s="19" t="s">
        <v>3193</v>
      </c>
      <c r="F572" s="19" t="s">
        <v>3209</v>
      </c>
      <c r="G572" s="19" t="s">
        <v>1315</v>
      </c>
      <c r="H572" s="19" t="s">
        <v>800</v>
      </c>
      <c r="I572" s="19" t="s">
        <v>3210</v>
      </c>
      <c r="J572" s="19" t="s">
        <v>1139</v>
      </c>
      <c r="K572" s="19" t="s">
        <v>1345</v>
      </c>
      <c r="L572" s="19" t="s">
        <v>1346</v>
      </c>
      <c r="M572" s="19" t="s">
        <v>797</v>
      </c>
      <c r="N572" s="19"/>
      <c r="O572" s="19" t="s">
        <v>1321</v>
      </c>
    </row>
    <row r="573" customFormat="false" ht="22.35" hidden="false" customHeight="false" outlineLevel="0" collapsed="false">
      <c r="A573" s="19" t="s">
        <v>3211</v>
      </c>
      <c r="B573" s="19" t="s">
        <v>797</v>
      </c>
      <c r="C573" s="19" t="str">
        <f aca="false">IFERROR(INDEX('Agent Roster'!$B:$B,MATCH(B573,'Agent Roster'!$A:$A,0)),"UNASSIGNED")</f>
        <v>Forecasting Agent</v>
      </c>
      <c r="D573" s="19" t="str">
        <f aca="false">IFERROR(INDEX('Agent Roster'!$D:$D,MATCH(B573,'Agent Roster'!$A:$A,0)),"UNASSIGNED")</f>
        <v>5 · Finance Hub</v>
      </c>
      <c r="E573" s="19" t="s">
        <v>3193</v>
      </c>
      <c r="F573" s="19" t="s">
        <v>3212</v>
      </c>
      <c r="G573" s="19" t="s">
        <v>1315</v>
      </c>
      <c r="H573" s="19" t="s">
        <v>800</v>
      </c>
      <c r="I573" s="19" t="s">
        <v>3213</v>
      </c>
      <c r="J573" s="19" t="s">
        <v>1139</v>
      </c>
      <c r="K573" s="19" t="s">
        <v>1350</v>
      </c>
      <c r="L573" s="19" t="s">
        <v>1351</v>
      </c>
      <c r="M573" s="19" t="s">
        <v>797</v>
      </c>
      <c r="N573" s="19"/>
      <c r="O573" s="19" t="s">
        <v>1321</v>
      </c>
    </row>
    <row r="574" customFormat="false" ht="22.35" hidden="false" customHeight="false" outlineLevel="0" collapsed="false">
      <c r="A574" s="19" t="s">
        <v>3214</v>
      </c>
      <c r="B574" s="19" t="s">
        <v>797</v>
      </c>
      <c r="C574" s="19" t="str">
        <f aca="false">IFERROR(INDEX('Agent Roster'!$B:$B,MATCH(B574,'Agent Roster'!$A:$A,0)),"UNASSIGNED")</f>
        <v>Forecasting Agent</v>
      </c>
      <c r="D574" s="19" t="str">
        <f aca="false">IFERROR(INDEX('Agent Roster'!$D:$D,MATCH(B574,'Agent Roster'!$A:$A,0)),"UNASSIGNED")</f>
        <v>5 · Finance Hub</v>
      </c>
      <c r="E574" s="19" t="s">
        <v>3193</v>
      </c>
      <c r="F574" s="19" t="s">
        <v>3215</v>
      </c>
      <c r="G574" s="19" t="s">
        <v>1315</v>
      </c>
      <c r="H574" s="19" t="s">
        <v>800</v>
      </c>
      <c r="I574" s="19" t="s">
        <v>3216</v>
      </c>
      <c r="J574" s="19" t="s">
        <v>1139</v>
      </c>
      <c r="K574" s="19" t="s">
        <v>1355</v>
      </c>
      <c r="L574" s="19" t="s">
        <v>1356</v>
      </c>
      <c r="M574" s="19" t="s">
        <v>797</v>
      </c>
      <c r="N574" s="19"/>
      <c r="O574" s="19" t="s">
        <v>1321</v>
      </c>
    </row>
    <row r="575" customFormat="false" ht="22.35" hidden="false" customHeight="false" outlineLevel="0" collapsed="false">
      <c r="A575" s="19" t="s">
        <v>3217</v>
      </c>
      <c r="B575" s="19" t="s">
        <v>797</v>
      </c>
      <c r="C575" s="19" t="str">
        <f aca="false">IFERROR(INDEX('Agent Roster'!$B:$B,MATCH(B575,'Agent Roster'!$A:$A,0)),"UNASSIGNED")</f>
        <v>Forecasting Agent</v>
      </c>
      <c r="D575" s="19" t="str">
        <f aca="false">IFERROR(INDEX('Agent Roster'!$D:$D,MATCH(B575,'Agent Roster'!$A:$A,0)),"UNASSIGNED")</f>
        <v>5 · Finance Hub</v>
      </c>
      <c r="E575" s="19" t="s">
        <v>3193</v>
      </c>
      <c r="F575" s="19" t="s">
        <v>3218</v>
      </c>
      <c r="G575" s="19" t="s">
        <v>1315</v>
      </c>
      <c r="H575" s="19" t="s">
        <v>800</v>
      </c>
      <c r="I575" s="19" t="s">
        <v>3219</v>
      </c>
      <c r="J575" s="19" t="s">
        <v>1139</v>
      </c>
      <c r="K575" s="19" t="s">
        <v>1360</v>
      </c>
      <c r="L575" s="19" t="s">
        <v>1376</v>
      </c>
      <c r="M575" s="19" t="s">
        <v>1377</v>
      </c>
      <c r="N575" s="19"/>
      <c r="O575" s="19" t="s">
        <v>1321</v>
      </c>
    </row>
    <row r="576" customFormat="false" ht="22.35" hidden="false" customHeight="false" outlineLevel="0" collapsed="false">
      <c r="A576" s="19" t="s">
        <v>3220</v>
      </c>
      <c r="B576" s="19" t="s">
        <v>378</v>
      </c>
      <c r="C576" s="19" t="str">
        <f aca="false">IFERROR(INDEX('Agent Roster'!$B:$B,MATCH(B576,'Agent Roster'!$A:$A,0)),"UNASSIGNED")</f>
        <v>Investigation &amp; Research Agent</v>
      </c>
      <c r="D576" s="19" t="str">
        <f aca="false">IFERROR(INDEX('Agent Roster'!$D:$D,MATCH(B576,'Agent Roster'!$A:$A,0)),"UNASSIGNED")</f>
        <v>Orchestration &amp; Diagnostics</v>
      </c>
      <c r="E576" s="19" t="s">
        <v>3221</v>
      </c>
      <c r="F576" s="19" t="s">
        <v>3222</v>
      </c>
      <c r="G576" s="19" t="s">
        <v>1315</v>
      </c>
      <c r="H576" s="19" t="s">
        <v>3223</v>
      </c>
      <c r="I576" s="19" t="s">
        <v>3224</v>
      </c>
      <c r="J576" s="19" t="s">
        <v>3225</v>
      </c>
      <c r="K576" s="19" t="s">
        <v>1319</v>
      </c>
      <c r="L576" s="19" t="s">
        <v>1320</v>
      </c>
      <c r="M576" s="19" t="s">
        <v>378</v>
      </c>
      <c r="N576" s="19"/>
      <c r="O576" s="19" t="s">
        <v>1321</v>
      </c>
    </row>
    <row r="577" customFormat="false" ht="22.35" hidden="false" customHeight="false" outlineLevel="0" collapsed="false">
      <c r="A577" s="19" t="s">
        <v>3226</v>
      </c>
      <c r="B577" s="19" t="s">
        <v>378</v>
      </c>
      <c r="C577" s="19" t="str">
        <f aca="false">IFERROR(INDEX('Agent Roster'!$B:$B,MATCH(B577,'Agent Roster'!$A:$A,0)),"UNASSIGNED")</f>
        <v>Investigation &amp; Research Agent</v>
      </c>
      <c r="D577" s="19" t="str">
        <f aca="false">IFERROR(INDEX('Agent Roster'!$D:$D,MATCH(B577,'Agent Roster'!$A:$A,0)),"UNASSIGNED")</f>
        <v>Orchestration &amp; Diagnostics</v>
      </c>
      <c r="E577" s="19" t="s">
        <v>3221</v>
      </c>
      <c r="F577" s="19" t="s">
        <v>3227</v>
      </c>
      <c r="G577" s="19" t="s">
        <v>1315</v>
      </c>
      <c r="H577" s="19" t="s">
        <v>3223</v>
      </c>
      <c r="I577" s="19" t="s">
        <v>3228</v>
      </c>
      <c r="J577" s="19" t="s">
        <v>3225</v>
      </c>
      <c r="K577" s="19" t="s">
        <v>1325</v>
      </c>
      <c r="L577" s="19" t="s">
        <v>1326</v>
      </c>
      <c r="M577" s="19" t="s">
        <v>378</v>
      </c>
      <c r="N577" s="19"/>
      <c r="O577" s="19" t="s">
        <v>1321</v>
      </c>
    </row>
    <row r="578" customFormat="false" ht="22.35" hidden="false" customHeight="false" outlineLevel="0" collapsed="false">
      <c r="A578" s="19" t="s">
        <v>3229</v>
      </c>
      <c r="B578" s="19" t="s">
        <v>378</v>
      </c>
      <c r="C578" s="19" t="str">
        <f aca="false">IFERROR(INDEX('Agent Roster'!$B:$B,MATCH(B578,'Agent Roster'!$A:$A,0)),"UNASSIGNED")</f>
        <v>Investigation &amp; Research Agent</v>
      </c>
      <c r="D578" s="19" t="str">
        <f aca="false">IFERROR(INDEX('Agent Roster'!$D:$D,MATCH(B578,'Agent Roster'!$A:$A,0)),"UNASSIGNED")</f>
        <v>Orchestration &amp; Diagnostics</v>
      </c>
      <c r="E578" s="19" t="s">
        <v>3221</v>
      </c>
      <c r="F578" s="19" t="s">
        <v>3230</v>
      </c>
      <c r="G578" s="19" t="s">
        <v>1315</v>
      </c>
      <c r="H578" s="19" t="s">
        <v>3223</v>
      </c>
      <c r="I578" s="19" t="s">
        <v>3231</v>
      </c>
      <c r="J578" s="19" t="s">
        <v>3225</v>
      </c>
      <c r="K578" s="19" t="s">
        <v>1330</v>
      </c>
      <c r="L578" s="19" t="s">
        <v>1331</v>
      </c>
      <c r="M578" s="19" t="s">
        <v>378</v>
      </c>
      <c r="N578" s="19"/>
      <c r="O578" s="19" t="s">
        <v>1321</v>
      </c>
    </row>
    <row r="579" customFormat="false" ht="22.35" hidden="false" customHeight="false" outlineLevel="0" collapsed="false">
      <c r="A579" s="19" t="s">
        <v>3232</v>
      </c>
      <c r="B579" s="19" t="s">
        <v>378</v>
      </c>
      <c r="C579" s="19" t="str">
        <f aca="false">IFERROR(INDEX('Agent Roster'!$B:$B,MATCH(B579,'Agent Roster'!$A:$A,0)),"UNASSIGNED")</f>
        <v>Investigation &amp; Research Agent</v>
      </c>
      <c r="D579" s="19" t="str">
        <f aca="false">IFERROR(INDEX('Agent Roster'!$D:$D,MATCH(B579,'Agent Roster'!$A:$A,0)),"UNASSIGNED")</f>
        <v>Orchestration &amp; Diagnostics</v>
      </c>
      <c r="E579" s="19" t="s">
        <v>3221</v>
      </c>
      <c r="F579" s="19" t="s">
        <v>3233</v>
      </c>
      <c r="G579" s="19" t="s">
        <v>1315</v>
      </c>
      <c r="H579" s="19" t="s">
        <v>3223</v>
      </c>
      <c r="I579" s="19" t="s">
        <v>3234</v>
      </c>
      <c r="J579" s="19" t="s">
        <v>3225</v>
      </c>
      <c r="K579" s="19" t="s">
        <v>1335</v>
      </c>
      <c r="L579" s="19" t="s">
        <v>1336</v>
      </c>
      <c r="M579" s="19" t="s">
        <v>378</v>
      </c>
      <c r="N579" s="19"/>
      <c r="O579" s="19" t="s">
        <v>1321</v>
      </c>
    </row>
    <row r="580" customFormat="false" ht="22.35" hidden="false" customHeight="false" outlineLevel="0" collapsed="false">
      <c r="A580" s="19" t="s">
        <v>3235</v>
      </c>
      <c r="B580" s="19" t="s">
        <v>378</v>
      </c>
      <c r="C580" s="19" t="str">
        <f aca="false">IFERROR(INDEX('Agent Roster'!$B:$B,MATCH(B580,'Agent Roster'!$A:$A,0)),"UNASSIGNED")</f>
        <v>Investigation &amp; Research Agent</v>
      </c>
      <c r="D580" s="19" t="str">
        <f aca="false">IFERROR(INDEX('Agent Roster'!$D:$D,MATCH(B580,'Agent Roster'!$A:$A,0)),"UNASSIGNED")</f>
        <v>Orchestration &amp; Diagnostics</v>
      </c>
      <c r="E580" s="19" t="s">
        <v>3221</v>
      </c>
      <c r="F580" s="19" t="s">
        <v>3236</v>
      </c>
      <c r="G580" s="19" t="s">
        <v>1315</v>
      </c>
      <c r="H580" s="19" t="s">
        <v>3223</v>
      </c>
      <c r="I580" s="19" t="s">
        <v>3237</v>
      </c>
      <c r="J580" s="19" t="s">
        <v>3225</v>
      </c>
      <c r="K580" s="19" t="s">
        <v>1340</v>
      </c>
      <c r="L580" s="19" t="s">
        <v>1341</v>
      </c>
      <c r="M580" s="19" t="s">
        <v>378</v>
      </c>
      <c r="N580" s="19"/>
      <c r="O580" s="19" t="s">
        <v>1321</v>
      </c>
    </row>
    <row r="581" customFormat="false" ht="22.35" hidden="false" customHeight="false" outlineLevel="0" collapsed="false">
      <c r="A581" s="19" t="s">
        <v>3238</v>
      </c>
      <c r="B581" s="19" t="s">
        <v>378</v>
      </c>
      <c r="C581" s="19" t="str">
        <f aca="false">IFERROR(INDEX('Agent Roster'!$B:$B,MATCH(B581,'Agent Roster'!$A:$A,0)),"UNASSIGNED")</f>
        <v>Investigation &amp; Research Agent</v>
      </c>
      <c r="D581" s="19" t="str">
        <f aca="false">IFERROR(INDEX('Agent Roster'!$D:$D,MATCH(B581,'Agent Roster'!$A:$A,0)),"UNASSIGNED")</f>
        <v>Orchestration &amp; Diagnostics</v>
      </c>
      <c r="E581" s="19" t="s">
        <v>3221</v>
      </c>
      <c r="F581" s="19" t="s">
        <v>3239</v>
      </c>
      <c r="G581" s="19" t="s">
        <v>1315</v>
      </c>
      <c r="H581" s="19" t="s">
        <v>3223</v>
      </c>
      <c r="I581" s="19" t="s">
        <v>3240</v>
      </c>
      <c r="J581" s="19" t="s">
        <v>3225</v>
      </c>
      <c r="K581" s="19" t="s">
        <v>1345</v>
      </c>
      <c r="L581" s="19" t="s">
        <v>1346</v>
      </c>
      <c r="M581" s="19" t="s">
        <v>378</v>
      </c>
      <c r="N581" s="19"/>
      <c r="O581" s="19" t="s">
        <v>1321</v>
      </c>
    </row>
    <row r="582" customFormat="false" ht="22.35" hidden="false" customHeight="false" outlineLevel="0" collapsed="false">
      <c r="A582" s="19" t="s">
        <v>3241</v>
      </c>
      <c r="B582" s="19" t="s">
        <v>378</v>
      </c>
      <c r="C582" s="19" t="str">
        <f aca="false">IFERROR(INDEX('Agent Roster'!$B:$B,MATCH(B582,'Agent Roster'!$A:$A,0)),"UNASSIGNED")</f>
        <v>Investigation &amp; Research Agent</v>
      </c>
      <c r="D582" s="19" t="str">
        <f aca="false">IFERROR(INDEX('Agent Roster'!$D:$D,MATCH(B582,'Agent Roster'!$A:$A,0)),"UNASSIGNED")</f>
        <v>Orchestration &amp; Diagnostics</v>
      </c>
      <c r="E582" s="19" t="s">
        <v>3221</v>
      </c>
      <c r="F582" s="19" t="s">
        <v>3242</v>
      </c>
      <c r="G582" s="19" t="s">
        <v>1315</v>
      </c>
      <c r="H582" s="19" t="s">
        <v>3223</v>
      </c>
      <c r="I582" s="19" t="s">
        <v>3243</v>
      </c>
      <c r="J582" s="19" t="s">
        <v>3225</v>
      </c>
      <c r="K582" s="19" t="s">
        <v>1350</v>
      </c>
      <c r="L582" s="19" t="s">
        <v>1351</v>
      </c>
      <c r="M582" s="19" t="s">
        <v>378</v>
      </c>
      <c r="N582" s="19"/>
      <c r="O582" s="19" t="s">
        <v>1321</v>
      </c>
    </row>
    <row r="583" customFormat="false" ht="22.35" hidden="false" customHeight="false" outlineLevel="0" collapsed="false">
      <c r="A583" s="19" t="s">
        <v>3244</v>
      </c>
      <c r="B583" s="19" t="s">
        <v>378</v>
      </c>
      <c r="C583" s="19" t="str">
        <f aca="false">IFERROR(INDEX('Agent Roster'!$B:$B,MATCH(B583,'Agent Roster'!$A:$A,0)),"UNASSIGNED")</f>
        <v>Investigation &amp; Research Agent</v>
      </c>
      <c r="D583" s="19" t="str">
        <f aca="false">IFERROR(INDEX('Agent Roster'!$D:$D,MATCH(B583,'Agent Roster'!$A:$A,0)),"UNASSIGNED")</f>
        <v>Orchestration &amp; Diagnostics</v>
      </c>
      <c r="E583" s="19" t="s">
        <v>3221</v>
      </c>
      <c r="F583" s="19" t="s">
        <v>3245</v>
      </c>
      <c r="G583" s="19" t="s">
        <v>1315</v>
      </c>
      <c r="H583" s="19" t="s">
        <v>3223</v>
      </c>
      <c r="I583" s="19" t="s">
        <v>3246</v>
      </c>
      <c r="J583" s="19" t="s">
        <v>3225</v>
      </c>
      <c r="K583" s="19" t="s">
        <v>1355</v>
      </c>
      <c r="L583" s="19" t="s">
        <v>1356</v>
      </c>
      <c r="M583" s="19" t="s">
        <v>378</v>
      </c>
      <c r="N583" s="19"/>
      <c r="O583" s="19" t="s">
        <v>1321</v>
      </c>
    </row>
    <row r="584" customFormat="false" ht="22.35" hidden="false" customHeight="false" outlineLevel="0" collapsed="false">
      <c r="A584" s="19" t="s">
        <v>3247</v>
      </c>
      <c r="B584" s="19" t="s">
        <v>378</v>
      </c>
      <c r="C584" s="19" t="str">
        <f aca="false">IFERROR(INDEX('Agent Roster'!$B:$B,MATCH(B584,'Agent Roster'!$A:$A,0)),"UNASSIGNED")</f>
        <v>Investigation &amp; Research Agent</v>
      </c>
      <c r="D584" s="19" t="str">
        <f aca="false">IFERROR(INDEX('Agent Roster'!$D:$D,MATCH(B584,'Agent Roster'!$A:$A,0)),"UNASSIGNED")</f>
        <v>Orchestration &amp; Diagnostics</v>
      </c>
      <c r="E584" s="19" t="s">
        <v>3221</v>
      </c>
      <c r="F584" s="19" t="s">
        <v>3248</v>
      </c>
      <c r="G584" s="19" t="s">
        <v>1315</v>
      </c>
      <c r="H584" s="19" t="s">
        <v>3223</v>
      </c>
      <c r="I584" s="19" t="s">
        <v>3249</v>
      </c>
      <c r="J584" s="19" t="s">
        <v>3225</v>
      </c>
      <c r="K584" s="19" t="s">
        <v>1360</v>
      </c>
      <c r="L584" s="19" t="s">
        <v>1361</v>
      </c>
      <c r="M584" s="19" t="s">
        <v>378</v>
      </c>
      <c r="N584" s="19"/>
      <c r="O584" s="19" t="s">
        <v>1321</v>
      </c>
    </row>
    <row r="585" customFormat="false" ht="22.35" hidden="false" customHeight="false" outlineLevel="0" collapsed="false">
      <c r="A585" s="19" t="s">
        <v>3250</v>
      </c>
      <c r="B585" s="19" t="s">
        <v>378</v>
      </c>
      <c r="C585" s="19" t="str">
        <f aca="false">IFERROR(INDEX('Agent Roster'!$B:$B,MATCH(B585,'Agent Roster'!$A:$A,0)),"UNASSIGNED")</f>
        <v>Investigation &amp; Research Agent</v>
      </c>
      <c r="D585" s="19" t="str">
        <f aca="false">IFERROR(INDEX('Agent Roster'!$D:$D,MATCH(B585,'Agent Roster'!$A:$A,0)),"UNASSIGNED")</f>
        <v>Orchestration &amp; Diagnostics</v>
      </c>
      <c r="E585" s="19" t="s">
        <v>3221</v>
      </c>
      <c r="F585" s="19" t="s">
        <v>3251</v>
      </c>
      <c r="G585" s="19" t="s">
        <v>1315</v>
      </c>
      <c r="H585" s="19" t="s">
        <v>3223</v>
      </c>
      <c r="I585" s="19" t="s">
        <v>3252</v>
      </c>
      <c r="J585" s="19" t="s">
        <v>3225</v>
      </c>
      <c r="K585" s="19" t="s">
        <v>1365</v>
      </c>
      <c r="L585" s="19" t="s">
        <v>1376</v>
      </c>
      <c r="M585" s="19" t="s">
        <v>1377</v>
      </c>
      <c r="N585" s="19"/>
      <c r="O585" s="19" t="s">
        <v>1321</v>
      </c>
    </row>
    <row r="586" customFormat="false" ht="22.35" hidden="false" customHeight="false" outlineLevel="0" collapsed="false">
      <c r="A586" s="19" t="s">
        <v>3253</v>
      </c>
      <c r="B586" s="19" t="s">
        <v>545</v>
      </c>
      <c r="C586" s="19" t="str">
        <f aca="false">IFERROR(INDEX('Agent Roster'!$B:$B,MATCH(B586,'Agent Roster'!$A:$A,0)),"UNASSIGNED")</f>
        <v>Communications, Speaking &amp; Influence Agent</v>
      </c>
      <c r="D586" s="19" t="str">
        <f aca="false">IFERROR(INDEX('Agent Roster'!$D:$D,MATCH(B586,'Agent Roster'!$A:$A,0)),"UNASSIGNED")</f>
        <v>2 · Marketing Hub</v>
      </c>
      <c r="E586" s="19" t="s">
        <v>3254</v>
      </c>
      <c r="F586" s="19" t="s">
        <v>3255</v>
      </c>
      <c r="G586" s="19" t="s">
        <v>1315</v>
      </c>
      <c r="H586" s="19" t="s">
        <v>3256</v>
      </c>
      <c r="I586" s="19" t="s">
        <v>3257</v>
      </c>
      <c r="J586" s="19" t="s">
        <v>3258</v>
      </c>
      <c r="K586" s="19" t="s">
        <v>1319</v>
      </c>
      <c r="L586" s="19" t="s">
        <v>1320</v>
      </c>
      <c r="M586" s="19" t="s">
        <v>545</v>
      </c>
      <c r="N586" s="19"/>
      <c r="O586" s="19" t="s">
        <v>1321</v>
      </c>
    </row>
    <row r="587" customFormat="false" ht="22.35" hidden="false" customHeight="false" outlineLevel="0" collapsed="false">
      <c r="A587" s="19" t="s">
        <v>3259</v>
      </c>
      <c r="B587" s="19" t="s">
        <v>545</v>
      </c>
      <c r="C587" s="19" t="str">
        <f aca="false">IFERROR(INDEX('Agent Roster'!$B:$B,MATCH(B587,'Agent Roster'!$A:$A,0)),"UNASSIGNED")</f>
        <v>Communications, Speaking &amp; Influence Agent</v>
      </c>
      <c r="D587" s="19" t="str">
        <f aca="false">IFERROR(INDEX('Agent Roster'!$D:$D,MATCH(B587,'Agent Roster'!$A:$A,0)),"UNASSIGNED")</f>
        <v>2 · Marketing Hub</v>
      </c>
      <c r="E587" s="19" t="s">
        <v>3254</v>
      </c>
      <c r="F587" s="19" t="s">
        <v>3260</v>
      </c>
      <c r="G587" s="19" t="s">
        <v>1315</v>
      </c>
      <c r="H587" s="19" t="s">
        <v>3256</v>
      </c>
      <c r="I587" s="19" t="s">
        <v>3261</v>
      </c>
      <c r="J587" s="19" t="s">
        <v>3258</v>
      </c>
      <c r="K587" s="19" t="s">
        <v>1325</v>
      </c>
      <c r="L587" s="19" t="s">
        <v>1326</v>
      </c>
      <c r="M587" s="19" t="s">
        <v>545</v>
      </c>
      <c r="N587" s="19"/>
      <c r="O587" s="19" t="s">
        <v>1321</v>
      </c>
    </row>
    <row r="588" customFormat="false" ht="22.35" hidden="false" customHeight="false" outlineLevel="0" collapsed="false">
      <c r="A588" s="19" t="s">
        <v>3262</v>
      </c>
      <c r="B588" s="19" t="s">
        <v>545</v>
      </c>
      <c r="C588" s="19" t="str">
        <f aca="false">IFERROR(INDEX('Agent Roster'!$B:$B,MATCH(B588,'Agent Roster'!$A:$A,0)),"UNASSIGNED")</f>
        <v>Communications, Speaking &amp; Influence Agent</v>
      </c>
      <c r="D588" s="19" t="str">
        <f aca="false">IFERROR(INDEX('Agent Roster'!$D:$D,MATCH(B588,'Agent Roster'!$A:$A,0)),"UNASSIGNED")</f>
        <v>2 · Marketing Hub</v>
      </c>
      <c r="E588" s="19" t="s">
        <v>3254</v>
      </c>
      <c r="F588" s="19" t="s">
        <v>3263</v>
      </c>
      <c r="G588" s="19" t="s">
        <v>1315</v>
      </c>
      <c r="H588" s="19" t="s">
        <v>3256</v>
      </c>
      <c r="I588" s="19" t="s">
        <v>3264</v>
      </c>
      <c r="J588" s="19" t="s">
        <v>3258</v>
      </c>
      <c r="K588" s="19" t="s">
        <v>1330</v>
      </c>
      <c r="L588" s="19" t="s">
        <v>1331</v>
      </c>
      <c r="M588" s="19" t="s">
        <v>545</v>
      </c>
      <c r="N588" s="19"/>
      <c r="O588" s="19" t="s">
        <v>1321</v>
      </c>
    </row>
    <row r="589" customFormat="false" ht="32.8" hidden="false" customHeight="false" outlineLevel="0" collapsed="false">
      <c r="A589" s="19" t="s">
        <v>3265</v>
      </c>
      <c r="B589" s="19" t="s">
        <v>545</v>
      </c>
      <c r="C589" s="19" t="str">
        <f aca="false">IFERROR(INDEX('Agent Roster'!$B:$B,MATCH(B589,'Agent Roster'!$A:$A,0)),"UNASSIGNED")</f>
        <v>Communications, Speaking &amp; Influence Agent</v>
      </c>
      <c r="D589" s="19" t="str">
        <f aca="false">IFERROR(INDEX('Agent Roster'!$D:$D,MATCH(B589,'Agent Roster'!$A:$A,0)),"UNASSIGNED")</f>
        <v>2 · Marketing Hub</v>
      </c>
      <c r="E589" s="19" t="s">
        <v>3254</v>
      </c>
      <c r="F589" s="19" t="s">
        <v>3266</v>
      </c>
      <c r="G589" s="19" t="s">
        <v>1315</v>
      </c>
      <c r="H589" s="19" t="s">
        <v>3256</v>
      </c>
      <c r="I589" s="19" t="s">
        <v>3267</v>
      </c>
      <c r="J589" s="19" t="s">
        <v>3258</v>
      </c>
      <c r="K589" s="19" t="s">
        <v>1335</v>
      </c>
      <c r="L589" s="19" t="s">
        <v>1336</v>
      </c>
      <c r="M589" s="19" t="s">
        <v>545</v>
      </c>
      <c r="N589" s="19"/>
      <c r="O589" s="19" t="s">
        <v>1321</v>
      </c>
    </row>
    <row r="590" customFormat="false" ht="22.35" hidden="false" customHeight="false" outlineLevel="0" collapsed="false">
      <c r="A590" s="19" t="s">
        <v>3268</v>
      </c>
      <c r="B590" s="19" t="s">
        <v>545</v>
      </c>
      <c r="C590" s="19" t="str">
        <f aca="false">IFERROR(INDEX('Agent Roster'!$B:$B,MATCH(B590,'Agent Roster'!$A:$A,0)),"UNASSIGNED")</f>
        <v>Communications, Speaking &amp; Influence Agent</v>
      </c>
      <c r="D590" s="19" t="str">
        <f aca="false">IFERROR(INDEX('Agent Roster'!$D:$D,MATCH(B590,'Agent Roster'!$A:$A,0)),"UNASSIGNED")</f>
        <v>2 · Marketing Hub</v>
      </c>
      <c r="E590" s="19" t="s">
        <v>3254</v>
      </c>
      <c r="F590" s="19" t="s">
        <v>3269</v>
      </c>
      <c r="G590" s="19" t="s">
        <v>1315</v>
      </c>
      <c r="H590" s="19" t="s">
        <v>3256</v>
      </c>
      <c r="I590" s="19" t="s">
        <v>3270</v>
      </c>
      <c r="J590" s="19" t="s">
        <v>3258</v>
      </c>
      <c r="K590" s="19" t="s">
        <v>1340</v>
      </c>
      <c r="L590" s="19" t="s">
        <v>1341</v>
      </c>
      <c r="M590" s="19" t="s">
        <v>545</v>
      </c>
      <c r="N590" s="19"/>
      <c r="O590" s="19" t="s">
        <v>1321</v>
      </c>
    </row>
    <row r="591" customFormat="false" ht="22.35" hidden="false" customHeight="false" outlineLevel="0" collapsed="false">
      <c r="A591" s="19" t="s">
        <v>3271</v>
      </c>
      <c r="B591" s="19" t="s">
        <v>545</v>
      </c>
      <c r="C591" s="19" t="str">
        <f aca="false">IFERROR(INDEX('Agent Roster'!$B:$B,MATCH(B591,'Agent Roster'!$A:$A,0)),"UNASSIGNED")</f>
        <v>Communications, Speaking &amp; Influence Agent</v>
      </c>
      <c r="D591" s="19" t="str">
        <f aca="false">IFERROR(INDEX('Agent Roster'!$D:$D,MATCH(B591,'Agent Roster'!$A:$A,0)),"UNASSIGNED")</f>
        <v>2 · Marketing Hub</v>
      </c>
      <c r="E591" s="19" t="s">
        <v>3254</v>
      </c>
      <c r="F591" s="19" t="s">
        <v>3272</v>
      </c>
      <c r="G591" s="19" t="s">
        <v>1315</v>
      </c>
      <c r="H591" s="19" t="s">
        <v>3256</v>
      </c>
      <c r="I591" s="19" t="s">
        <v>3273</v>
      </c>
      <c r="J591" s="19" t="s">
        <v>3258</v>
      </c>
      <c r="K591" s="19" t="s">
        <v>1345</v>
      </c>
      <c r="L591" s="19" t="s">
        <v>1346</v>
      </c>
      <c r="M591" s="19" t="s">
        <v>545</v>
      </c>
      <c r="N591" s="19"/>
      <c r="O591" s="19" t="s">
        <v>1321</v>
      </c>
    </row>
    <row r="592" customFormat="false" ht="22.35" hidden="false" customHeight="false" outlineLevel="0" collapsed="false">
      <c r="A592" s="19" t="s">
        <v>3274</v>
      </c>
      <c r="B592" s="19" t="s">
        <v>545</v>
      </c>
      <c r="C592" s="19" t="str">
        <f aca="false">IFERROR(INDEX('Agent Roster'!$B:$B,MATCH(B592,'Agent Roster'!$A:$A,0)),"UNASSIGNED")</f>
        <v>Communications, Speaking &amp; Influence Agent</v>
      </c>
      <c r="D592" s="19" t="str">
        <f aca="false">IFERROR(INDEX('Agent Roster'!$D:$D,MATCH(B592,'Agent Roster'!$A:$A,0)),"UNASSIGNED")</f>
        <v>2 · Marketing Hub</v>
      </c>
      <c r="E592" s="19" t="s">
        <v>3254</v>
      </c>
      <c r="F592" s="19" t="s">
        <v>3275</v>
      </c>
      <c r="G592" s="19" t="s">
        <v>1315</v>
      </c>
      <c r="H592" s="19" t="s">
        <v>3256</v>
      </c>
      <c r="I592" s="19" t="s">
        <v>3276</v>
      </c>
      <c r="J592" s="19" t="s">
        <v>3258</v>
      </c>
      <c r="K592" s="19" t="s">
        <v>1350</v>
      </c>
      <c r="L592" s="19" t="s">
        <v>1351</v>
      </c>
      <c r="M592" s="19" t="s">
        <v>545</v>
      </c>
      <c r="N592" s="19"/>
      <c r="O592" s="19" t="s">
        <v>1321</v>
      </c>
    </row>
    <row r="593" customFormat="false" ht="22.35" hidden="false" customHeight="false" outlineLevel="0" collapsed="false">
      <c r="A593" s="19" t="s">
        <v>3277</v>
      </c>
      <c r="B593" s="19" t="s">
        <v>545</v>
      </c>
      <c r="C593" s="19" t="str">
        <f aca="false">IFERROR(INDEX('Agent Roster'!$B:$B,MATCH(B593,'Agent Roster'!$A:$A,0)),"UNASSIGNED")</f>
        <v>Communications, Speaking &amp; Influence Agent</v>
      </c>
      <c r="D593" s="19" t="str">
        <f aca="false">IFERROR(INDEX('Agent Roster'!$D:$D,MATCH(B593,'Agent Roster'!$A:$A,0)),"UNASSIGNED")</f>
        <v>2 · Marketing Hub</v>
      </c>
      <c r="E593" s="19" t="s">
        <v>3254</v>
      </c>
      <c r="F593" s="19" t="s">
        <v>3278</v>
      </c>
      <c r="G593" s="19" t="s">
        <v>1315</v>
      </c>
      <c r="H593" s="19" t="s">
        <v>3256</v>
      </c>
      <c r="I593" s="19" t="s">
        <v>3279</v>
      </c>
      <c r="J593" s="19" t="s">
        <v>3258</v>
      </c>
      <c r="K593" s="19" t="s">
        <v>1355</v>
      </c>
      <c r="L593" s="19" t="s">
        <v>1376</v>
      </c>
      <c r="M593" s="19" t="s">
        <v>1377</v>
      </c>
      <c r="N593" s="19"/>
      <c r="O593" s="19" t="s">
        <v>1321</v>
      </c>
    </row>
    <row r="594" customFormat="false" ht="22.35" hidden="false" customHeight="false" outlineLevel="0" collapsed="false">
      <c r="A594" s="19" t="s">
        <v>3280</v>
      </c>
      <c r="B594" s="19" t="s">
        <v>953</v>
      </c>
      <c r="C594" s="19" t="str">
        <f aca="false">IFERROR(INDEX('Agent Roster'!$B:$B,MATCH(B594,'Agent Roster'!$A:$A,0)),"UNASSIGNED")</f>
        <v>Meeting &amp; Group Facilitation Agent</v>
      </c>
      <c r="D594" s="19" t="str">
        <f aca="false">IFERROR(INDEX('Agent Roster'!$D:$D,MATCH(B594,'Agent Roster'!$A:$A,0)),"UNASSIGNED")</f>
        <v>6 · HR &amp; Culture Hub</v>
      </c>
      <c r="E594" s="19" t="s">
        <v>3281</v>
      </c>
      <c r="F594" s="19" t="s">
        <v>3282</v>
      </c>
      <c r="G594" s="19" t="s">
        <v>1315</v>
      </c>
      <c r="H594" s="19" t="s">
        <v>956</v>
      </c>
      <c r="I594" s="19" t="s">
        <v>3283</v>
      </c>
      <c r="J594" s="19" t="s">
        <v>3284</v>
      </c>
      <c r="K594" s="19" t="s">
        <v>1319</v>
      </c>
      <c r="L594" s="19" t="s">
        <v>1320</v>
      </c>
      <c r="M594" s="19" t="s">
        <v>953</v>
      </c>
      <c r="N594" s="19"/>
      <c r="O594" s="19" t="s">
        <v>1321</v>
      </c>
    </row>
    <row r="595" customFormat="false" ht="22.35" hidden="false" customHeight="false" outlineLevel="0" collapsed="false">
      <c r="A595" s="19" t="s">
        <v>3285</v>
      </c>
      <c r="B595" s="19" t="s">
        <v>953</v>
      </c>
      <c r="C595" s="19" t="str">
        <f aca="false">IFERROR(INDEX('Agent Roster'!$B:$B,MATCH(B595,'Agent Roster'!$A:$A,0)),"UNASSIGNED")</f>
        <v>Meeting &amp; Group Facilitation Agent</v>
      </c>
      <c r="D595" s="19" t="str">
        <f aca="false">IFERROR(INDEX('Agent Roster'!$D:$D,MATCH(B595,'Agent Roster'!$A:$A,0)),"UNASSIGNED")</f>
        <v>6 · HR &amp; Culture Hub</v>
      </c>
      <c r="E595" s="19" t="s">
        <v>3281</v>
      </c>
      <c r="F595" s="19" t="s">
        <v>3286</v>
      </c>
      <c r="G595" s="19" t="s">
        <v>1315</v>
      </c>
      <c r="H595" s="19" t="s">
        <v>956</v>
      </c>
      <c r="I595" s="19" t="s">
        <v>3287</v>
      </c>
      <c r="J595" s="19" t="s">
        <v>3284</v>
      </c>
      <c r="K595" s="19" t="s">
        <v>1325</v>
      </c>
      <c r="L595" s="19" t="s">
        <v>1326</v>
      </c>
      <c r="M595" s="19" t="s">
        <v>953</v>
      </c>
      <c r="N595" s="19"/>
      <c r="O595" s="19" t="s">
        <v>1321</v>
      </c>
    </row>
    <row r="596" customFormat="false" ht="22.35" hidden="false" customHeight="false" outlineLevel="0" collapsed="false">
      <c r="A596" s="19" t="s">
        <v>3288</v>
      </c>
      <c r="B596" s="19" t="s">
        <v>953</v>
      </c>
      <c r="C596" s="19" t="str">
        <f aca="false">IFERROR(INDEX('Agent Roster'!$B:$B,MATCH(B596,'Agent Roster'!$A:$A,0)),"UNASSIGNED")</f>
        <v>Meeting &amp; Group Facilitation Agent</v>
      </c>
      <c r="D596" s="19" t="str">
        <f aca="false">IFERROR(INDEX('Agent Roster'!$D:$D,MATCH(B596,'Agent Roster'!$A:$A,0)),"UNASSIGNED")</f>
        <v>6 · HR &amp; Culture Hub</v>
      </c>
      <c r="E596" s="19" t="s">
        <v>3281</v>
      </c>
      <c r="F596" s="19" t="s">
        <v>3289</v>
      </c>
      <c r="G596" s="19" t="s">
        <v>1315</v>
      </c>
      <c r="H596" s="19" t="s">
        <v>956</v>
      </c>
      <c r="I596" s="19" t="s">
        <v>3290</v>
      </c>
      <c r="J596" s="19" t="s">
        <v>3284</v>
      </c>
      <c r="K596" s="19" t="s">
        <v>1330</v>
      </c>
      <c r="L596" s="19" t="s">
        <v>1331</v>
      </c>
      <c r="M596" s="19" t="s">
        <v>953</v>
      </c>
      <c r="N596" s="19"/>
      <c r="O596" s="19" t="s">
        <v>1321</v>
      </c>
    </row>
    <row r="597" customFormat="false" ht="22.35" hidden="false" customHeight="false" outlineLevel="0" collapsed="false">
      <c r="A597" s="19" t="s">
        <v>3291</v>
      </c>
      <c r="B597" s="19" t="s">
        <v>953</v>
      </c>
      <c r="C597" s="19" t="str">
        <f aca="false">IFERROR(INDEX('Agent Roster'!$B:$B,MATCH(B597,'Agent Roster'!$A:$A,0)),"UNASSIGNED")</f>
        <v>Meeting &amp; Group Facilitation Agent</v>
      </c>
      <c r="D597" s="19" t="str">
        <f aca="false">IFERROR(INDEX('Agent Roster'!$D:$D,MATCH(B597,'Agent Roster'!$A:$A,0)),"UNASSIGNED")</f>
        <v>6 · HR &amp; Culture Hub</v>
      </c>
      <c r="E597" s="19" t="s">
        <v>3281</v>
      </c>
      <c r="F597" s="19" t="s">
        <v>3292</v>
      </c>
      <c r="G597" s="19" t="s">
        <v>1315</v>
      </c>
      <c r="H597" s="19" t="s">
        <v>956</v>
      </c>
      <c r="I597" s="19" t="s">
        <v>3293</v>
      </c>
      <c r="J597" s="19" t="s">
        <v>3284</v>
      </c>
      <c r="K597" s="19" t="s">
        <v>1335</v>
      </c>
      <c r="L597" s="19" t="s">
        <v>1336</v>
      </c>
      <c r="M597" s="19" t="s">
        <v>953</v>
      </c>
      <c r="N597" s="19"/>
      <c r="O597" s="19" t="s">
        <v>1321</v>
      </c>
    </row>
    <row r="598" customFormat="false" ht="22.35" hidden="false" customHeight="false" outlineLevel="0" collapsed="false">
      <c r="A598" s="19" t="s">
        <v>3294</v>
      </c>
      <c r="B598" s="19" t="s">
        <v>953</v>
      </c>
      <c r="C598" s="19" t="str">
        <f aca="false">IFERROR(INDEX('Agent Roster'!$B:$B,MATCH(B598,'Agent Roster'!$A:$A,0)),"UNASSIGNED")</f>
        <v>Meeting &amp; Group Facilitation Agent</v>
      </c>
      <c r="D598" s="19" t="str">
        <f aca="false">IFERROR(INDEX('Agent Roster'!$D:$D,MATCH(B598,'Agent Roster'!$A:$A,0)),"UNASSIGNED")</f>
        <v>6 · HR &amp; Culture Hub</v>
      </c>
      <c r="E598" s="19" t="s">
        <v>3281</v>
      </c>
      <c r="F598" s="19" t="s">
        <v>3295</v>
      </c>
      <c r="G598" s="19" t="s">
        <v>1315</v>
      </c>
      <c r="H598" s="19" t="s">
        <v>956</v>
      </c>
      <c r="I598" s="19" t="s">
        <v>3296</v>
      </c>
      <c r="J598" s="19" t="s">
        <v>3284</v>
      </c>
      <c r="K598" s="19" t="s">
        <v>1340</v>
      </c>
      <c r="L598" s="19" t="s">
        <v>1341</v>
      </c>
      <c r="M598" s="19" t="s">
        <v>953</v>
      </c>
      <c r="N598" s="19"/>
      <c r="O598" s="19" t="s">
        <v>1321</v>
      </c>
    </row>
    <row r="599" customFormat="false" ht="22.35" hidden="false" customHeight="false" outlineLevel="0" collapsed="false">
      <c r="A599" s="19" t="s">
        <v>3297</v>
      </c>
      <c r="B599" s="19" t="s">
        <v>953</v>
      </c>
      <c r="C599" s="19" t="str">
        <f aca="false">IFERROR(INDEX('Agent Roster'!$B:$B,MATCH(B599,'Agent Roster'!$A:$A,0)),"UNASSIGNED")</f>
        <v>Meeting &amp; Group Facilitation Agent</v>
      </c>
      <c r="D599" s="19" t="str">
        <f aca="false">IFERROR(INDEX('Agent Roster'!$D:$D,MATCH(B599,'Agent Roster'!$A:$A,0)),"UNASSIGNED")</f>
        <v>6 · HR &amp; Culture Hub</v>
      </c>
      <c r="E599" s="19" t="s">
        <v>3281</v>
      </c>
      <c r="F599" s="19" t="s">
        <v>3298</v>
      </c>
      <c r="G599" s="19" t="s">
        <v>1315</v>
      </c>
      <c r="H599" s="19" t="s">
        <v>956</v>
      </c>
      <c r="I599" s="19" t="s">
        <v>3299</v>
      </c>
      <c r="J599" s="19" t="s">
        <v>3284</v>
      </c>
      <c r="K599" s="19" t="s">
        <v>1345</v>
      </c>
      <c r="L599" s="19" t="s">
        <v>1346</v>
      </c>
      <c r="M599" s="19" t="s">
        <v>953</v>
      </c>
      <c r="N599" s="19"/>
      <c r="O599" s="19" t="s">
        <v>1321</v>
      </c>
    </row>
    <row r="600" customFormat="false" ht="22.35" hidden="false" customHeight="false" outlineLevel="0" collapsed="false">
      <c r="A600" s="19" t="s">
        <v>3300</v>
      </c>
      <c r="B600" s="19" t="s">
        <v>953</v>
      </c>
      <c r="C600" s="19" t="str">
        <f aca="false">IFERROR(INDEX('Agent Roster'!$B:$B,MATCH(B600,'Agent Roster'!$A:$A,0)),"UNASSIGNED")</f>
        <v>Meeting &amp; Group Facilitation Agent</v>
      </c>
      <c r="D600" s="19" t="str">
        <f aca="false">IFERROR(INDEX('Agent Roster'!$D:$D,MATCH(B600,'Agent Roster'!$A:$A,0)),"UNASSIGNED")</f>
        <v>6 · HR &amp; Culture Hub</v>
      </c>
      <c r="E600" s="19" t="s">
        <v>3281</v>
      </c>
      <c r="F600" s="19" t="s">
        <v>3301</v>
      </c>
      <c r="G600" s="19" t="s">
        <v>1315</v>
      </c>
      <c r="H600" s="19" t="s">
        <v>956</v>
      </c>
      <c r="I600" s="19" t="s">
        <v>3302</v>
      </c>
      <c r="J600" s="19" t="s">
        <v>3284</v>
      </c>
      <c r="K600" s="19" t="s">
        <v>1350</v>
      </c>
      <c r="L600" s="19" t="s">
        <v>1351</v>
      </c>
      <c r="M600" s="19" t="s">
        <v>953</v>
      </c>
      <c r="N600" s="19"/>
      <c r="O600" s="19" t="s">
        <v>1321</v>
      </c>
    </row>
    <row r="601" customFormat="false" ht="22.35" hidden="false" customHeight="false" outlineLevel="0" collapsed="false">
      <c r="A601" s="19" t="s">
        <v>3303</v>
      </c>
      <c r="B601" s="19" t="s">
        <v>953</v>
      </c>
      <c r="C601" s="19" t="str">
        <f aca="false">IFERROR(INDEX('Agent Roster'!$B:$B,MATCH(B601,'Agent Roster'!$A:$A,0)),"UNASSIGNED")</f>
        <v>Meeting &amp; Group Facilitation Agent</v>
      </c>
      <c r="D601" s="19" t="str">
        <f aca="false">IFERROR(INDEX('Agent Roster'!$D:$D,MATCH(B601,'Agent Roster'!$A:$A,0)),"UNASSIGNED")</f>
        <v>6 · HR &amp; Culture Hub</v>
      </c>
      <c r="E601" s="19" t="s">
        <v>3281</v>
      </c>
      <c r="F601" s="19" t="s">
        <v>3304</v>
      </c>
      <c r="G601" s="19" t="s">
        <v>1315</v>
      </c>
      <c r="H601" s="19" t="s">
        <v>956</v>
      </c>
      <c r="I601" s="19" t="s">
        <v>3305</v>
      </c>
      <c r="J601" s="19" t="s">
        <v>3284</v>
      </c>
      <c r="K601" s="19" t="s">
        <v>1355</v>
      </c>
      <c r="L601" s="19" t="s">
        <v>1376</v>
      </c>
      <c r="M601" s="19" t="s">
        <v>1377</v>
      </c>
      <c r="N601" s="19"/>
      <c r="O601" s="19" t="s">
        <v>1321</v>
      </c>
    </row>
    <row r="602" customFormat="false" ht="22.35" hidden="false" customHeight="false" outlineLevel="0" collapsed="false">
      <c r="A602" s="19" t="s">
        <v>3306</v>
      </c>
      <c r="B602" s="19" t="s">
        <v>663</v>
      </c>
      <c r="C602" s="19" t="str">
        <f aca="false">IFERROR(INDEX('Agent Roster'!$B:$B,MATCH(B602,'Agent Roster'!$A:$A,0)),"UNASSIGNED")</f>
        <v>Negotiation &amp; Influence Agent</v>
      </c>
      <c r="D602" s="19" t="str">
        <f aca="false">IFERROR(INDEX('Agent Roster'!$D:$D,MATCH(B602,'Agent Roster'!$A:$A,0)),"UNASSIGNED")</f>
        <v>3 · Sales Hub</v>
      </c>
      <c r="E602" s="19" t="s">
        <v>3307</v>
      </c>
      <c r="F602" s="19" t="s">
        <v>3308</v>
      </c>
      <c r="G602" s="19" t="s">
        <v>1315</v>
      </c>
      <c r="H602" s="19" t="s">
        <v>3309</v>
      </c>
      <c r="I602" s="19" t="s">
        <v>3310</v>
      </c>
      <c r="J602" s="19" t="s">
        <v>3311</v>
      </c>
      <c r="K602" s="19" t="s">
        <v>1319</v>
      </c>
      <c r="L602" s="19" t="s">
        <v>1320</v>
      </c>
      <c r="M602" s="19" t="s">
        <v>663</v>
      </c>
      <c r="N602" s="19"/>
      <c r="O602" s="19" t="s">
        <v>1321</v>
      </c>
    </row>
    <row r="603" customFormat="false" ht="15" hidden="false" customHeight="false" outlineLevel="0" collapsed="false">
      <c r="A603" s="19" t="s">
        <v>3312</v>
      </c>
      <c r="B603" s="19" t="s">
        <v>663</v>
      </c>
      <c r="C603" s="19" t="str">
        <f aca="false">IFERROR(INDEX('Agent Roster'!$B:$B,MATCH(B603,'Agent Roster'!$A:$A,0)),"UNASSIGNED")</f>
        <v>Negotiation &amp; Influence Agent</v>
      </c>
      <c r="D603" s="19" t="str">
        <f aca="false">IFERROR(INDEX('Agent Roster'!$D:$D,MATCH(B603,'Agent Roster'!$A:$A,0)),"UNASSIGNED")</f>
        <v>3 · Sales Hub</v>
      </c>
      <c r="E603" s="19" t="s">
        <v>3307</v>
      </c>
      <c r="F603" s="19" t="s">
        <v>3313</v>
      </c>
      <c r="G603" s="19" t="s">
        <v>1315</v>
      </c>
      <c r="H603" s="19" t="s">
        <v>3309</v>
      </c>
      <c r="I603" s="19" t="s">
        <v>3314</v>
      </c>
      <c r="J603" s="19" t="s">
        <v>3311</v>
      </c>
      <c r="K603" s="19" t="s">
        <v>1325</v>
      </c>
      <c r="L603" s="19" t="s">
        <v>1326</v>
      </c>
      <c r="M603" s="19" t="s">
        <v>663</v>
      </c>
      <c r="N603" s="19"/>
      <c r="O603" s="19" t="s">
        <v>1321</v>
      </c>
    </row>
    <row r="604" customFormat="false" ht="22.35" hidden="false" customHeight="false" outlineLevel="0" collapsed="false">
      <c r="A604" s="19" t="s">
        <v>3315</v>
      </c>
      <c r="B604" s="19" t="s">
        <v>663</v>
      </c>
      <c r="C604" s="19" t="str">
        <f aca="false">IFERROR(INDEX('Agent Roster'!$B:$B,MATCH(B604,'Agent Roster'!$A:$A,0)),"UNASSIGNED")</f>
        <v>Negotiation &amp; Influence Agent</v>
      </c>
      <c r="D604" s="19" t="str">
        <f aca="false">IFERROR(INDEX('Agent Roster'!$D:$D,MATCH(B604,'Agent Roster'!$A:$A,0)),"UNASSIGNED")</f>
        <v>3 · Sales Hub</v>
      </c>
      <c r="E604" s="19" t="s">
        <v>3307</v>
      </c>
      <c r="F604" s="19" t="s">
        <v>3316</v>
      </c>
      <c r="G604" s="19" t="s">
        <v>1315</v>
      </c>
      <c r="H604" s="19" t="s">
        <v>3309</v>
      </c>
      <c r="I604" s="19" t="s">
        <v>3317</v>
      </c>
      <c r="J604" s="19" t="s">
        <v>3311</v>
      </c>
      <c r="K604" s="19" t="s">
        <v>1330</v>
      </c>
      <c r="L604" s="19" t="s">
        <v>1331</v>
      </c>
      <c r="M604" s="19" t="s">
        <v>663</v>
      </c>
      <c r="N604" s="19"/>
      <c r="O604" s="19" t="s">
        <v>1321</v>
      </c>
    </row>
    <row r="605" customFormat="false" ht="22.35" hidden="false" customHeight="false" outlineLevel="0" collapsed="false">
      <c r="A605" s="19" t="s">
        <v>3318</v>
      </c>
      <c r="B605" s="19" t="s">
        <v>663</v>
      </c>
      <c r="C605" s="19" t="str">
        <f aca="false">IFERROR(INDEX('Agent Roster'!$B:$B,MATCH(B605,'Agent Roster'!$A:$A,0)),"UNASSIGNED")</f>
        <v>Negotiation &amp; Influence Agent</v>
      </c>
      <c r="D605" s="19" t="str">
        <f aca="false">IFERROR(INDEX('Agent Roster'!$D:$D,MATCH(B605,'Agent Roster'!$A:$A,0)),"UNASSIGNED")</f>
        <v>3 · Sales Hub</v>
      </c>
      <c r="E605" s="19" t="s">
        <v>3307</v>
      </c>
      <c r="F605" s="19" t="s">
        <v>3319</v>
      </c>
      <c r="G605" s="19" t="s">
        <v>1315</v>
      </c>
      <c r="H605" s="19" t="s">
        <v>3309</v>
      </c>
      <c r="I605" s="19" t="s">
        <v>3320</v>
      </c>
      <c r="J605" s="19" t="s">
        <v>3311</v>
      </c>
      <c r="K605" s="19" t="s">
        <v>1335</v>
      </c>
      <c r="L605" s="19" t="s">
        <v>1336</v>
      </c>
      <c r="M605" s="19" t="s">
        <v>663</v>
      </c>
      <c r="N605" s="19"/>
      <c r="O605" s="19" t="s">
        <v>1321</v>
      </c>
    </row>
    <row r="606" customFormat="false" ht="22.35" hidden="false" customHeight="false" outlineLevel="0" collapsed="false">
      <c r="A606" s="19" t="s">
        <v>3321</v>
      </c>
      <c r="B606" s="19" t="s">
        <v>663</v>
      </c>
      <c r="C606" s="19" t="str">
        <f aca="false">IFERROR(INDEX('Agent Roster'!$B:$B,MATCH(B606,'Agent Roster'!$A:$A,0)),"UNASSIGNED")</f>
        <v>Negotiation &amp; Influence Agent</v>
      </c>
      <c r="D606" s="19" t="str">
        <f aca="false">IFERROR(INDEX('Agent Roster'!$D:$D,MATCH(B606,'Agent Roster'!$A:$A,0)),"UNASSIGNED")</f>
        <v>3 · Sales Hub</v>
      </c>
      <c r="E606" s="19" t="s">
        <v>3307</v>
      </c>
      <c r="F606" s="19" t="s">
        <v>3322</v>
      </c>
      <c r="G606" s="19" t="s">
        <v>1315</v>
      </c>
      <c r="H606" s="19" t="s">
        <v>3309</v>
      </c>
      <c r="I606" s="19" t="s">
        <v>3323</v>
      </c>
      <c r="J606" s="19" t="s">
        <v>3311</v>
      </c>
      <c r="K606" s="19" t="s">
        <v>1340</v>
      </c>
      <c r="L606" s="19" t="s">
        <v>1341</v>
      </c>
      <c r="M606" s="19" t="s">
        <v>663</v>
      </c>
      <c r="N606" s="19"/>
      <c r="O606" s="19" t="s">
        <v>1321</v>
      </c>
    </row>
    <row r="607" customFormat="false" ht="22.35" hidden="false" customHeight="false" outlineLevel="0" collapsed="false">
      <c r="A607" s="19" t="s">
        <v>3324</v>
      </c>
      <c r="B607" s="19" t="s">
        <v>663</v>
      </c>
      <c r="C607" s="19" t="str">
        <f aca="false">IFERROR(INDEX('Agent Roster'!$B:$B,MATCH(B607,'Agent Roster'!$A:$A,0)),"UNASSIGNED")</f>
        <v>Negotiation &amp; Influence Agent</v>
      </c>
      <c r="D607" s="19" t="str">
        <f aca="false">IFERROR(INDEX('Agent Roster'!$D:$D,MATCH(B607,'Agent Roster'!$A:$A,0)),"UNASSIGNED")</f>
        <v>3 · Sales Hub</v>
      </c>
      <c r="E607" s="19" t="s">
        <v>3307</v>
      </c>
      <c r="F607" s="19" t="s">
        <v>3325</v>
      </c>
      <c r="G607" s="19" t="s">
        <v>1315</v>
      </c>
      <c r="H607" s="19" t="s">
        <v>3309</v>
      </c>
      <c r="I607" s="19" t="s">
        <v>3326</v>
      </c>
      <c r="J607" s="19" t="s">
        <v>3311</v>
      </c>
      <c r="K607" s="19" t="s">
        <v>1345</v>
      </c>
      <c r="L607" s="19" t="s">
        <v>1346</v>
      </c>
      <c r="M607" s="19" t="s">
        <v>663</v>
      </c>
      <c r="N607" s="19"/>
      <c r="O607" s="19" t="s">
        <v>1321</v>
      </c>
    </row>
    <row r="608" customFormat="false" ht="22.35" hidden="false" customHeight="false" outlineLevel="0" collapsed="false">
      <c r="A608" s="19" t="s">
        <v>3327</v>
      </c>
      <c r="B608" s="19" t="s">
        <v>663</v>
      </c>
      <c r="C608" s="19" t="str">
        <f aca="false">IFERROR(INDEX('Agent Roster'!$B:$B,MATCH(B608,'Agent Roster'!$A:$A,0)),"UNASSIGNED")</f>
        <v>Negotiation &amp; Influence Agent</v>
      </c>
      <c r="D608" s="19" t="str">
        <f aca="false">IFERROR(INDEX('Agent Roster'!$D:$D,MATCH(B608,'Agent Roster'!$A:$A,0)),"UNASSIGNED")</f>
        <v>3 · Sales Hub</v>
      </c>
      <c r="E608" s="19" t="s">
        <v>3307</v>
      </c>
      <c r="F608" s="19" t="s">
        <v>3328</v>
      </c>
      <c r="G608" s="19" t="s">
        <v>1315</v>
      </c>
      <c r="H608" s="19" t="s">
        <v>3309</v>
      </c>
      <c r="I608" s="19" t="s">
        <v>3329</v>
      </c>
      <c r="J608" s="19" t="s">
        <v>3311</v>
      </c>
      <c r="K608" s="19" t="s">
        <v>1350</v>
      </c>
      <c r="L608" s="19" t="s">
        <v>1351</v>
      </c>
      <c r="M608" s="19" t="s">
        <v>663</v>
      </c>
      <c r="N608" s="19"/>
      <c r="O608" s="19" t="s">
        <v>1321</v>
      </c>
    </row>
    <row r="609" customFormat="false" ht="22.35" hidden="false" customHeight="false" outlineLevel="0" collapsed="false">
      <c r="A609" s="19" t="s">
        <v>3330</v>
      </c>
      <c r="B609" s="19" t="s">
        <v>663</v>
      </c>
      <c r="C609" s="19" t="str">
        <f aca="false">IFERROR(INDEX('Agent Roster'!$B:$B,MATCH(B609,'Agent Roster'!$A:$A,0)),"UNASSIGNED")</f>
        <v>Negotiation &amp; Influence Agent</v>
      </c>
      <c r="D609" s="19" t="str">
        <f aca="false">IFERROR(INDEX('Agent Roster'!$D:$D,MATCH(B609,'Agent Roster'!$A:$A,0)),"UNASSIGNED")</f>
        <v>3 · Sales Hub</v>
      </c>
      <c r="E609" s="19" t="s">
        <v>3307</v>
      </c>
      <c r="F609" s="19" t="s">
        <v>3331</v>
      </c>
      <c r="G609" s="19" t="s">
        <v>1315</v>
      </c>
      <c r="H609" s="19" t="s">
        <v>3309</v>
      </c>
      <c r="I609" s="19" t="s">
        <v>3332</v>
      </c>
      <c r="J609" s="19" t="s">
        <v>3311</v>
      </c>
      <c r="K609" s="19" t="s">
        <v>1355</v>
      </c>
      <c r="L609" s="19" t="s">
        <v>1356</v>
      </c>
      <c r="M609" s="19" t="s">
        <v>663</v>
      </c>
      <c r="N609" s="19"/>
      <c r="O609" s="19" t="s">
        <v>1321</v>
      </c>
    </row>
    <row r="610" customFormat="false" ht="22.35" hidden="false" customHeight="false" outlineLevel="0" collapsed="false">
      <c r="A610" s="19" t="s">
        <v>3333</v>
      </c>
      <c r="B610" s="19" t="s">
        <v>663</v>
      </c>
      <c r="C610" s="19" t="str">
        <f aca="false">IFERROR(INDEX('Agent Roster'!$B:$B,MATCH(B610,'Agent Roster'!$A:$A,0)),"UNASSIGNED")</f>
        <v>Negotiation &amp; Influence Agent</v>
      </c>
      <c r="D610" s="19" t="str">
        <f aca="false">IFERROR(INDEX('Agent Roster'!$D:$D,MATCH(B610,'Agent Roster'!$A:$A,0)),"UNASSIGNED")</f>
        <v>3 · Sales Hub</v>
      </c>
      <c r="E610" s="19" t="s">
        <v>3307</v>
      </c>
      <c r="F610" s="19" t="s">
        <v>3334</v>
      </c>
      <c r="G610" s="19" t="s">
        <v>1315</v>
      </c>
      <c r="H610" s="19" t="s">
        <v>3309</v>
      </c>
      <c r="I610" s="19" t="s">
        <v>3335</v>
      </c>
      <c r="J610" s="19" t="s">
        <v>3311</v>
      </c>
      <c r="K610" s="19" t="s">
        <v>1360</v>
      </c>
      <c r="L610" s="19" t="s">
        <v>1376</v>
      </c>
      <c r="M610" s="19" t="s">
        <v>1377</v>
      </c>
      <c r="N610" s="19"/>
      <c r="O610" s="19" t="s">
        <v>1321</v>
      </c>
    </row>
    <row r="611" customFormat="false" ht="22.35" hidden="false" customHeight="false" outlineLevel="0" collapsed="false">
      <c r="A611" s="19" t="s">
        <v>3336</v>
      </c>
      <c r="B611" s="19" t="s">
        <v>47</v>
      </c>
      <c r="C611" s="19" t="str">
        <f aca="false">IFERROR(INDEX('Agent Roster'!$B:$B,MATCH(B611,'Agent Roster'!$A:$A,0)),"UNASSIGNED")</f>
        <v>Founder / Operator (HUMAN)</v>
      </c>
      <c r="D611" s="19" t="str">
        <f aca="false">IFERROR(INDEX('Agent Roster'!$D:$D,MATCH(B611,'Agent Roster'!$A:$A,0)),"UNASSIGNED")</f>
        <v>Governance &amp; Meta-Tier</v>
      </c>
      <c r="E611" s="19" t="s">
        <v>3337</v>
      </c>
      <c r="F611" s="19" t="s">
        <v>3338</v>
      </c>
      <c r="G611" s="19" t="s">
        <v>1315</v>
      </c>
      <c r="H611" s="19" t="s">
        <v>3339</v>
      </c>
      <c r="I611" s="19" t="s">
        <v>3340</v>
      </c>
      <c r="J611" s="19" t="s">
        <v>51</v>
      </c>
      <c r="K611" s="19" t="s">
        <v>1319</v>
      </c>
      <c r="L611" s="19" t="s">
        <v>1320</v>
      </c>
      <c r="M611" s="19" t="s">
        <v>47</v>
      </c>
      <c r="N611" s="19" t="s">
        <v>1657</v>
      </c>
      <c r="O611" s="19" t="s">
        <v>2060</v>
      </c>
    </row>
    <row r="612" customFormat="false" ht="22.35" hidden="false" customHeight="false" outlineLevel="0" collapsed="false">
      <c r="A612" s="19" t="s">
        <v>3341</v>
      </c>
      <c r="B612" s="19" t="s">
        <v>47</v>
      </c>
      <c r="C612" s="19" t="str">
        <f aca="false">IFERROR(INDEX('Agent Roster'!$B:$B,MATCH(B612,'Agent Roster'!$A:$A,0)),"UNASSIGNED")</f>
        <v>Founder / Operator (HUMAN)</v>
      </c>
      <c r="D612" s="19" t="str">
        <f aca="false">IFERROR(INDEX('Agent Roster'!$D:$D,MATCH(B612,'Agent Roster'!$A:$A,0)),"UNASSIGNED")</f>
        <v>Governance &amp; Meta-Tier</v>
      </c>
      <c r="E612" s="19" t="s">
        <v>3337</v>
      </c>
      <c r="F612" s="19" t="s">
        <v>3342</v>
      </c>
      <c r="G612" s="19" t="s">
        <v>1315</v>
      </c>
      <c r="H612" s="19" t="s">
        <v>3339</v>
      </c>
      <c r="I612" s="19" t="s">
        <v>3343</v>
      </c>
      <c r="J612" s="19" t="s">
        <v>51</v>
      </c>
      <c r="K612" s="19" t="s">
        <v>1325</v>
      </c>
      <c r="L612" s="19" t="s">
        <v>1326</v>
      </c>
      <c r="M612" s="19" t="s">
        <v>47</v>
      </c>
      <c r="N612" s="19" t="s">
        <v>1657</v>
      </c>
      <c r="O612" s="19" t="s">
        <v>2060</v>
      </c>
    </row>
    <row r="613" customFormat="false" ht="22.35" hidden="false" customHeight="false" outlineLevel="0" collapsed="false">
      <c r="A613" s="19" t="s">
        <v>3344</v>
      </c>
      <c r="B613" s="19" t="s">
        <v>47</v>
      </c>
      <c r="C613" s="19" t="str">
        <f aca="false">IFERROR(INDEX('Agent Roster'!$B:$B,MATCH(B613,'Agent Roster'!$A:$A,0)),"UNASSIGNED")</f>
        <v>Founder / Operator (HUMAN)</v>
      </c>
      <c r="D613" s="19" t="str">
        <f aca="false">IFERROR(INDEX('Agent Roster'!$D:$D,MATCH(B613,'Agent Roster'!$A:$A,0)),"UNASSIGNED")</f>
        <v>Governance &amp; Meta-Tier</v>
      </c>
      <c r="E613" s="19" t="s">
        <v>3337</v>
      </c>
      <c r="F613" s="19" t="s">
        <v>3345</v>
      </c>
      <c r="G613" s="19" t="s">
        <v>1315</v>
      </c>
      <c r="H613" s="19" t="s">
        <v>3339</v>
      </c>
      <c r="I613" s="19" t="s">
        <v>3346</v>
      </c>
      <c r="J613" s="19" t="s">
        <v>51</v>
      </c>
      <c r="K613" s="19" t="s">
        <v>1330</v>
      </c>
      <c r="L613" s="19" t="s">
        <v>1331</v>
      </c>
      <c r="M613" s="19" t="s">
        <v>47</v>
      </c>
      <c r="N613" s="19" t="s">
        <v>1657</v>
      </c>
      <c r="O613" s="19" t="s">
        <v>2060</v>
      </c>
    </row>
    <row r="614" customFormat="false" ht="22.35" hidden="false" customHeight="false" outlineLevel="0" collapsed="false">
      <c r="A614" s="19" t="s">
        <v>3347</v>
      </c>
      <c r="B614" s="19" t="s">
        <v>47</v>
      </c>
      <c r="C614" s="19" t="str">
        <f aca="false">IFERROR(INDEX('Agent Roster'!$B:$B,MATCH(B614,'Agent Roster'!$A:$A,0)),"UNASSIGNED")</f>
        <v>Founder / Operator (HUMAN)</v>
      </c>
      <c r="D614" s="19" t="str">
        <f aca="false">IFERROR(INDEX('Agent Roster'!$D:$D,MATCH(B614,'Agent Roster'!$A:$A,0)),"UNASSIGNED")</f>
        <v>Governance &amp; Meta-Tier</v>
      </c>
      <c r="E614" s="19" t="s">
        <v>3337</v>
      </c>
      <c r="F614" s="19" t="s">
        <v>3348</v>
      </c>
      <c r="G614" s="19" t="s">
        <v>1315</v>
      </c>
      <c r="H614" s="19" t="s">
        <v>3339</v>
      </c>
      <c r="I614" s="19" t="s">
        <v>3349</v>
      </c>
      <c r="J614" s="19" t="s">
        <v>51</v>
      </c>
      <c r="K614" s="19" t="s">
        <v>1335</v>
      </c>
      <c r="L614" s="19" t="s">
        <v>1336</v>
      </c>
      <c r="M614" s="19" t="s">
        <v>47</v>
      </c>
      <c r="N614" s="19" t="s">
        <v>1657</v>
      </c>
      <c r="O614" s="19" t="s">
        <v>2060</v>
      </c>
    </row>
    <row r="615" customFormat="false" ht="22.35" hidden="false" customHeight="false" outlineLevel="0" collapsed="false">
      <c r="A615" s="19" t="s">
        <v>3350</v>
      </c>
      <c r="B615" s="19" t="s">
        <v>47</v>
      </c>
      <c r="C615" s="19" t="str">
        <f aca="false">IFERROR(INDEX('Agent Roster'!$B:$B,MATCH(B615,'Agent Roster'!$A:$A,0)),"UNASSIGNED")</f>
        <v>Founder / Operator (HUMAN)</v>
      </c>
      <c r="D615" s="19" t="str">
        <f aca="false">IFERROR(INDEX('Agent Roster'!$D:$D,MATCH(B615,'Agent Roster'!$A:$A,0)),"UNASSIGNED")</f>
        <v>Governance &amp; Meta-Tier</v>
      </c>
      <c r="E615" s="19" t="s">
        <v>3337</v>
      </c>
      <c r="F615" s="19" t="s">
        <v>3351</v>
      </c>
      <c r="G615" s="19" t="s">
        <v>1315</v>
      </c>
      <c r="H615" s="19" t="s">
        <v>3339</v>
      </c>
      <c r="I615" s="19" t="s">
        <v>3352</v>
      </c>
      <c r="J615" s="19" t="s">
        <v>51</v>
      </c>
      <c r="K615" s="19" t="s">
        <v>1340</v>
      </c>
      <c r="L615" s="19" t="s">
        <v>1341</v>
      </c>
      <c r="M615" s="19" t="s">
        <v>47</v>
      </c>
      <c r="N615" s="19" t="s">
        <v>1657</v>
      </c>
      <c r="O615" s="19" t="s">
        <v>2060</v>
      </c>
    </row>
    <row r="616" customFormat="false" ht="22.35" hidden="false" customHeight="false" outlineLevel="0" collapsed="false">
      <c r="A616" s="19" t="s">
        <v>3353</v>
      </c>
      <c r="B616" s="19" t="s">
        <v>47</v>
      </c>
      <c r="C616" s="19" t="str">
        <f aca="false">IFERROR(INDEX('Agent Roster'!$B:$B,MATCH(B616,'Agent Roster'!$A:$A,0)),"UNASSIGNED")</f>
        <v>Founder / Operator (HUMAN)</v>
      </c>
      <c r="D616" s="19" t="str">
        <f aca="false">IFERROR(INDEX('Agent Roster'!$D:$D,MATCH(B616,'Agent Roster'!$A:$A,0)),"UNASSIGNED")</f>
        <v>Governance &amp; Meta-Tier</v>
      </c>
      <c r="E616" s="19" t="s">
        <v>3337</v>
      </c>
      <c r="F616" s="19" t="s">
        <v>3354</v>
      </c>
      <c r="G616" s="19" t="s">
        <v>1315</v>
      </c>
      <c r="H616" s="19" t="s">
        <v>3339</v>
      </c>
      <c r="I616" s="19" t="s">
        <v>3355</v>
      </c>
      <c r="J616" s="19" t="s">
        <v>51</v>
      </c>
      <c r="K616" s="19" t="s">
        <v>1345</v>
      </c>
      <c r="L616" s="19" t="s">
        <v>1346</v>
      </c>
      <c r="M616" s="19" t="s">
        <v>47</v>
      </c>
      <c r="N616" s="19" t="s">
        <v>1657</v>
      </c>
      <c r="O616" s="19" t="s">
        <v>2060</v>
      </c>
    </row>
    <row r="617" customFormat="false" ht="22.35" hidden="false" customHeight="false" outlineLevel="0" collapsed="false">
      <c r="A617" s="19" t="s">
        <v>3356</v>
      </c>
      <c r="B617" s="19" t="s">
        <v>47</v>
      </c>
      <c r="C617" s="19" t="str">
        <f aca="false">IFERROR(INDEX('Agent Roster'!$B:$B,MATCH(B617,'Agent Roster'!$A:$A,0)),"UNASSIGNED")</f>
        <v>Founder / Operator (HUMAN)</v>
      </c>
      <c r="D617" s="19" t="str">
        <f aca="false">IFERROR(INDEX('Agent Roster'!$D:$D,MATCH(B617,'Agent Roster'!$A:$A,0)),"UNASSIGNED")</f>
        <v>Governance &amp; Meta-Tier</v>
      </c>
      <c r="E617" s="19" t="s">
        <v>3337</v>
      </c>
      <c r="F617" s="19" t="s">
        <v>3357</v>
      </c>
      <c r="G617" s="19" t="s">
        <v>1315</v>
      </c>
      <c r="H617" s="19" t="s">
        <v>3339</v>
      </c>
      <c r="I617" s="19" t="s">
        <v>3358</v>
      </c>
      <c r="J617" s="19" t="s">
        <v>51</v>
      </c>
      <c r="K617" s="19" t="s">
        <v>1350</v>
      </c>
      <c r="L617" s="19" t="s">
        <v>1351</v>
      </c>
      <c r="M617" s="19" t="s">
        <v>47</v>
      </c>
      <c r="N617" s="19" t="s">
        <v>1657</v>
      </c>
      <c r="O617" s="19" t="s">
        <v>2060</v>
      </c>
    </row>
    <row r="618" customFormat="false" ht="22.35" hidden="false" customHeight="false" outlineLevel="0" collapsed="false">
      <c r="A618" s="19" t="s">
        <v>3359</v>
      </c>
      <c r="B618" s="19" t="s">
        <v>47</v>
      </c>
      <c r="C618" s="19" t="str">
        <f aca="false">IFERROR(INDEX('Agent Roster'!$B:$B,MATCH(B618,'Agent Roster'!$A:$A,0)),"UNASSIGNED")</f>
        <v>Founder / Operator (HUMAN)</v>
      </c>
      <c r="D618" s="19" t="str">
        <f aca="false">IFERROR(INDEX('Agent Roster'!$D:$D,MATCH(B618,'Agent Roster'!$A:$A,0)),"UNASSIGNED")</f>
        <v>Governance &amp; Meta-Tier</v>
      </c>
      <c r="E618" s="19" t="s">
        <v>3337</v>
      </c>
      <c r="F618" s="19" t="s">
        <v>3360</v>
      </c>
      <c r="G618" s="19" t="s">
        <v>1315</v>
      </c>
      <c r="H618" s="19" t="s">
        <v>3339</v>
      </c>
      <c r="I618" s="19" t="s">
        <v>3361</v>
      </c>
      <c r="J618" s="19" t="s">
        <v>51</v>
      </c>
      <c r="K618" s="19" t="s">
        <v>1355</v>
      </c>
      <c r="L618" s="19" t="s">
        <v>1356</v>
      </c>
      <c r="M618" s="19" t="s">
        <v>47</v>
      </c>
      <c r="N618" s="19" t="s">
        <v>1657</v>
      </c>
      <c r="O618" s="19" t="s">
        <v>2060</v>
      </c>
    </row>
    <row r="619" customFormat="false" ht="22.35" hidden="false" customHeight="false" outlineLevel="0" collapsed="false">
      <c r="A619" s="19" t="s">
        <v>3362</v>
      </c>
      <c r="B619" s="19" t="s">
        <v>47</v>
      </c>
      <c r="C619" s="19" t="str">
        <f aca="false">IFERROR(INDEX('Agent Roster'!$B:$B,MATCH(B619,'Agent Roster'!$A:$A,0)),"UNASSIGNED")</f>
        <v>Founder / Operator (HUMAN)</v>
      </c>
      <c r="D619" s="19" t="str">
        <f aca="false">IFERROR(INDEX('Agent Roster'!$D:$D,MATCH(B619,'Agent Roster'!$A:$A,0)),"UNASSIGNED")</f>
        <v>Governance &amp; Meta-Tier</v>
      </c>
      <c r="E619" s="19" t="s">
        <v>3337</v>
      </c>
      <c r="F619" s="19" t="s">
        <v>3363</v>
      </c>
      <c r="G619" s="19" t="s">
        <v>1315</v>
      </c>
      <c r="H619" s="19" t="s">
        <v>3339</v>
      </c>
      <c r="I619" s="19" t="s">
        <v>3364</v>
      </c>
      <c r="J619" s="19" t="s">
        <v>51</v>
      </c>
      <c r="K619" s="19" t="s">
        <v>1360</v>
      </c>
      <c r="L619" s="19" t="s">
        <v>1376</v>
      </c>
      <c r="M619" s="19" t="s">
        <v>1377</v>
      </c>
      <c r="N619" s="19" t="s">
        <v>1657</v>
      </c>
      <c r="O619" s="19" t="s">
        <v>2060</v>
      </c>
    </row>
    <row r="620" customFormat="false" ht="15" hidden="false" customHeight="false" outlineLevel="0" collapsed="false">
      <c r="A620" s="19" t="s">
        <v>3365</v>
      </c>
      <c r="B620" s="19" t="s">
        <v>906</v>
      </c>
      <c r="C620" s="19" t="str">
        <f aca="false">IFERROR(INDEX('Agent Roster'!$B:$B,MATCH(B620,'Agent Roster'!$A:$A,0)),"UNASSIGNED")</f>
        <v>Culture &amp; Ritual Steward (Mode 5)</v>
      </c>
      <c r="D620" s="19" t="str">
        <f aca="false">IFERROR(INDEX('Agent Roster'!$D:$D,MATCH(B620,'Agent Roster'!$A:$A,0)),"UNASSIGNED")</f>
        <v>6 · HR &amp; Culture Hub</v>
      </c>
      <c r="E620" s="19" t="s">
        <v>3366</v>
      </c>
      <c r="F620" s="19" t="s">
        <v>3367</v>
      </c>
      <c r="G620" s="19" t="s">
        <v>1315</v>
      </c>
      <c r="H620" s="19" t="s">
        <v>3368</v>
      </c>
      <c r="I620" s="19" t="s">
        <v>3369</v>
      </c>
      <c r="J620" s="19" t="s">
        <v>3370</v>
      </c>
      <c r="K620" s="19" t="s">
        <v>1319</v>
      </c>
      <c r="L620" s="19" t="s">
        <v>1320</v>
      </c>
      <c r="M620" s="19" t="s">
        <v>906</v>
      </c>
      <c r="N620" s="19"/>
      <c r="O620" s="19" t="s">
        <v>1321</v>
      </c>
    </row>
    <row r="621" customFormat="false" ht="32.8" hidden="false" customHeight="false" outlineLevel="0" collapsed="false">
      <c r="A621" s="19" t="s">
        <v>3371</v>
      </c>
      <c r="B621" s="19" t="s">
        <v>906</v>
      </c>
      <c r="C621" s="19" t="str">
        <f aca="false">IFERROR(INDEX('Agent Roster'!$B:$B,MATCH(B621,'Agent Roster'!$A:$A,0)),"UNASSIGNED")</f>
        <v>Culture &amp; Ritual Steward (Mode 5)</v>
      </c>
      <c r="D621" s="19" t="str">
        <f aca="false">IFERROR(INDEX('Agent Roster'!$D:$D,MATCH(B621,'Agent Roster'!$A:$A,0)),"UNASSIGNED")</f>
        <v>6 · HR &amp; Culture Hub</v>
      </c>
      <c r="E621" s="19" t="s">
        <v>3366</v>
      </c>
      <c r="F621" s="19" t="s">
        <v>3372</v>
      </c>
      <c r="G621" s="19" t="s">
        <v>1315</v>
      </c>
      <c r="H621" s="19" t="s">
        <v>3368</v>
      </c>
      <c r="I621" s="19" t="s">
        <v>3373</v>
      </c>
      <c r="J621" s="19" t="s">
        <v>3370</v>
      </c>
      <c r="K621" s="19" t="s">
        <v>1325</v>
      </c>
      <c r="L621" s="19" t="s">
        <v>1326</v>
      </c>
      <c r="M621" s="19" t="s">
        <v>906</v>
      </c>
      <c r="N621" s="19"/>
      <c r="O621" s="19" t="s">
        <v>1321</v>
      </c>
    </row>
    <row r="622" customFormat="false" ht="22.35" hidden="false" customHeight="false" outlineLevel="0" collapsed="false">
      <c r="A622" s="19" t="s">
        <v>3374</v>
      </c>
      <c r="B622" s="19" t="s">
        <v>906</v>
      </c>
      <c r="C622" s="19" t="str">
        <f aca="false">IFERROR(INDEX('Agent Roster'!$B:$B,MATCH(B622,'Agent Roster'!$A:$A,0)),"UNASSIGNED")</f>
        <v>Culture &amp; Ritual Steward (Mode 5)</v>
      </c>
      <c r="D622" s="19" t="str">
        <f aca="false">IFERROR(INDEX('Agent Roster'!$D:$D,MATCH(B622,'Agent Roster'!$A:$A,0)),"UNASSIGNED")</f>
        <v>6 · HR &amp; Culture Hub</v>
      </c>
      <c r="E622" s="19" t="s">
        <v>3366</v>
      </c>
      <c r="F622" s="19" t="s">
        <v>3375</v>
      </c>
      <c r="G622" s="19" t="s">
        <v>1315</v>
      </c>
      <c r="H622" s="19" t="s">
        <v>3368</v>
      </c>
      <c r="I622" s="19" t="s">
        <v>3376</v>
      </c>
      <c r="J622" s="19" t="s">
        <v>3370</v>
      </c>
      <c r="K622" s="19" t="s">
        <v>1330</v>
      </c>
      <c r="L622" s="19" t="s">
        <v>1331</v>
      </c>
      <c r="M622" s="19" t="s">
        <v>906</v>
      </c>
      <c r="N622" s="19"/>
      <c r="O622" s="19" t="s">
        <v>1321</v>
      </c>
    </row>
    <row r="623" customFormat="false" ht="22.35" hidden="false" customHeight="false" outlineLevel="0" collapsed="false">
      <c r="A623" s="19" t="s">
        <v>3377</v>
      </c>
      <c r="B623" s="19" t="s">
        <v>906</v>
      </c>
      <c r="C623" s="19" t="str">
        <f aca="false">IFERROR(INDEX('Agent Roster'!$B:$B,MATCH(B623,'Agent Roster'!$A:$A,0)),"UNASSIGNED")</f>
        <v>Culture &amp; Ritual Steward (Mode 5)</v>
      </c>
      <c r="D623" s="19" t="str">
        <f aca="false">IFERROR(INDEX('Agent Roster'!$D:$D,MATCH(B623,'Agent Roster'!$A:$A,0)),"UNASSIGNED")</f>
        <v>6 · HR &amp; Culture Hub</v>
      </c>
      <c r="E623" s="19" t="s">
        <v>3366</v>
      </c>
      <c r="F623" s="19" t="s">
        <v>3378</v>
      </c>
      <c r="G623" s="19" t="s">
        <v>1315</v>
      </c>
      <c r="H623" s="19" t="s">
        <v>3368</v>
      </c>
      <c r="I623" s="19" t="s">
        <v>3379</v>
      </c>
      <c r="J623" s="19" t="s">
        <v>3370</v>
      </c>
      <c r="K623" s="19" t="s">
        <v>1335</v>
      </c>
      <c r="L623" s="19" t="s">
        <v>1336</v>
      </c>
      <c r="M623" s="19" t="s">
        <v>906</v>
      </c>
      <c r="N623" s="19"/>
      <c r="O623" s="19" t="s">
        <v>1321</v>
      </c>
    </row>
    <row r="624" customFormat="false" ht="22.35" hidden="false" customHeight="false" outlineLevel="0" collapsed="false">
      <c r="A624" s="19" t="s">
        <v>3380</v>
      </c>
      <c r="B624" s="19" t="s">
        <v>906</v>
      </c>
      <c r="C624" s="19" t="str">
        <f aca="false">IFERROR(INDEX('Agent Roster'!$B:$B,MATCH(B624,'Agent Roster'!$A:$A,0)),"UNASSIGNED")</f>
        <v>Culture &amp; Ritual Steward (Mode 5)</v>
      </c>
      <c r="D624" s="19" t="str">
        <f aca="false">IFERROR(INDEX('Agent Roster'!$D:$D,MATCH(B624,'Agent Roster'!$A:$A,0)),"UNASSIGNED")</f>
        <v>6 · HR &amp; Culture Hub</v>
      </c>
      <c r="E624" s="19" t="s">
        <v>3366</v>
      </c>
      <c r="F624" s="19" t="s">
        <v>3381</v>
      </c>
      <c r="G624" s="19" t="s">
        <v>1315</v>
      </c>
      <c r="H624" s="19" t="s">
        <v>3368</v>
      </c>
      <c r="I624" s="19" t="s">
        <v>3382</v>
      </c>
      <c r="J624" s="19" t="s">
        <v>3370</v>
      </c>
      <c r="K624" s="19" t="s">
        <v>1340</v>
      </c>
      <c r="L624" s="19" t="s">
        <v>1341</v>
      </c>
      <c r="M624" s="19" t="s">
        <v>906</v>
      </c>
      <c r="N624" s="19"/>
      <c r="O624" s="19" t="s">
        <v>1321</v>
      </c>
    </row>
    <row r="625" customFormat="false" ht="22.35" hidden="false" customHeight="false" outlineLevel="0" collapsed="false">
      <c r="A625" s="19" t="s">
        <v>3383</v>
      </c>
      <c r="B625" s="19" t="s">
        <v>906</v>
      </c>
      <c r="C625" s="19" t="str">
        <f aca="false">IFERROR(INDEX('Agent Roster'!$B:$B,MATCH(B625,'Agent Roster'!$A:$A,0)),"UNASSIGNED")</f>
        <v>Culture &amp; Ritual Steward (Mode 5)</v>
      </c>
      <c r="D625" s="19" t="str">
        <f aca="false">IFERROR(INDEX('Agent Roster'!$D:$D,MATCH(B625,'Agent Roster'!$A:$A,0)),"UNASSIGNED")</f>
        <v>6 · HR &amp; Culture Hub</v>
      </c>
      <c r="E625" s="19" t="s">
        <v>3366</v>
      </c>
      <c r="F625" s="19" t="s">
        <v>3384</v>
      </c>
      <c r="G625" s="19" t="s">
        <v>1315</v>
      </c>
      <c r="H625" s="19" t="s">
        <v>3368</v>
      </c>
      <c r="I625" s="19" t="s">
        <v>3385</v>
      </c>
      <c r="J625" s="19" t="s">
        <v>3370</v>
      </c>
      <c r="K625" s="19" t="s">
        <v>1345</v>
      </c>
      <c r="L625" s="19" t="s">
        <v>1346</v>
      </c>
      <c r="M625" s="19" t="s">
        <v>906</v>
      </c>
      <c r="N625" s="19"/>
      <c r="O625" s="19" t="s">
        <v>1321</v>
      </c>
    </row>
    <row r="626" customFormat="false" ht="22.35" hidden="false" customHeight="false" outlineLevel="0" collapsed="false">
      <c r="A626" s="19" t="s">
        <v>3386</v>
      </c>
      <c r="B626" s="19" t="s">
        <v>906</v>
      </c>
      <c r="C626" s="19" t="str">
        <f aca="false">IFERROR(INDEX('Agent Roster'!$B:$B,MATCH(B626,'Agent Roster'!$A:$A,0)),"UNASSIGNED")</f>
        <v>Culture &amp; Ritual Steward (Mode 5)</v>
      </c>
      <c r="D626" s="19" t="str">
        <f aca="false">IFERROR(INDEX('Agent Roster'!$D:$D,MATCH(B626,'Agent Roster'!$A:$A,0)),"UNASSIGNED")</f>
        <v>6 · HR &amp; Culture Hub</v>
      </c>
      <c r="E626" s="19" t="s">
        <v>3366</v>
      </c>
      <c r="F626" s="19" t="s">
        <v>3387</v>
      </c>
      <c r="G626" s="19" t="s">
        <v>1315</v>
      </c>
      <c r="H626" s="19" t="s">
        <v>3368</v>
      </c>
      <c r="I626" s="19" t="s">
        <v>3388</v>
      </c>
      <c r="J626" s="19" t="s">
        <v>3370</v>
      </c>
      <c r="K626" s="19" t="s">
        <v>1350</v>
      </c>
      <c r="L626" s="19" t="s">
        <v>1351</v>
      </c>
      <c r="M626" s="19" t="s">
        <v>906</v>
      </c>
      <c r="N626" s="19"/>
      <c r="O626" s="19" t="s">
        <v>1321</v>
      </c>
    </row>
    <row r="627" customFormat="false" ht="22.35" hidden="false" customHeight="false" outlineLevel="0" collapsed="false">
      <c r="A627" s="19" t="s">
        <v>3389</v>
      </c>
      <c r="B627" s="19" t="s">
        <v>906</v>
      </c>
      <c r="C627" s="19" t="str">
        <f aca="false">IFERROR(INDEX('Agent Roster'!$B:$B,MATCH(B627,'Agent Roster'!$A:$A,0)),"UNASSIGNED")</f>
        <v>Culture &amp; Ritual Steward (Mode 5)</v>
      </c>
      <c r="D627" s="19" t="str">
        <f aca="false">IFERROR(INDEX('Agent Roster'!$D:$D,MATCH(B627,'Agent Roster'!$A:$A,0)),"UNASSIGNED")</f>
        <v>6 · HR &amp; Culture Hub</v>
      </c>
      <c r="E627" s="19" t="s">
        <v>3366</v>
      </c>
      <c r="F627" s="19" t="s">
        <v>3390</v>
      </c>
      <c r="G627" s="19" t="s">
        <v>1315</v>
      </c>
      <c r="H627" s="19" t="s">
        <v>3368</v>
      </c>
      <c r="I627" s="19" t="s">
        <v>3391</v>
      </c>
      <c r="J627" s="19" t="s">
        <v>3370</v>
      </c>
      <c r="K627" s="19" t="s">
        <v>1355</v>
      </c>
      <c r="L627" s="19" t="s">
        <v>1376</v>
      </c>
      <c r="M627" s="19" t="s">
        <v>1377</v>
      </c>
      <c r="N627" s="19"/>
      <c r="O627" s="19" t="s">
        <v>1321</v>
      </c>
    </row>
    <row r="628" customFormat="false" ht="22.35" hidden="false" customHeight="false" outlineLevel="0" collapsed="false">
      <c r="A628" s="19" t="s">
        <v>3392</v>
      </c>
      <c r="B628" s="19" t="s">
        <v>126</v>
      </c>
      <c r="C628" s="19" t="str">
        <f aca="false">IFERROR(INDEX('Agent Roster'!$B:$B,MATCH(B628,'Agent Roster'!$A:$A,0)),"UNASSIGNED")</f>
        <v>Governance Designer (decision rights &amp; escalation)</v>
      </c>
      <c r="D628" s="19" t="str">
        <f aca="false">IFERROR(INDEX('Agent Roster'!$D:$D,MATCH(B628,'Agent Roster'!$A:$A,0)),"UNASSIGNED")</f>
        <v>Governance &amp; Meta-Tier</v>
      </c>
      <c r="E628" s="19" t="s">
        <v>3393</v>
      </c>
      <c r="F628" s="19" t="s">
        <v>3394</v>
      </c>
      <c r="G628" s="19" t="s">
        <v>1315</v>
      </c>
      <c r="H628" s="19" t="s">
        <v>3395</v>
      </c>
      <c r="I628" s="19" t="s">
        <v>3396</v>
      </c>
      <c r="J628" s="19" t="s">
        <v>3397</v>
      </c>
      <c r="K628" s="19" t="s">
        <v>1319</v>
      </c>
      <c r="L628" s="19" t="s">
        <v>1320</v>
      </c>
      <c r="M628" s="19" t="s">
        <v>126</v>
      </c>
      <c r="N628" s="19"/>
      <c r="O628" s="19" t="s">
        <v>1321</v>
      </c>
    </row>
    <row r="629" customFormat="false" ht="32.8" hidden="false" customHeight="false" outlineLevel="0" collapsed="false">
      <c r="A629" s="19" t="s">
        <v>3398</v>
      </c>
      <c r="B629" s="19" t="s">
        <v>126</v>
      </c>
      <c r="C629" s="19" t="str">
        <f aca="false">IFERROR(INDEX('Agent Roster'!$B:$B,MATCH(B629,'Agent Roster'!$A:$A,0)),"UNASSIGNED")</f>
        <v>Governance Designer (decision rights &amp; escalation)</v>
      </c>
      <c r="D629" s="19" t="str">
        <f aca="false">IFERROR(INDEX('Agent Roster'!$D:$D,MATCH(B629,'Agent Roster'!$A:$A,0)),"UNASSIGNED")</f>
        <v>Governance &amp; Meta-Tier</v>
      </c>
      <c r="E629" s="19" t="s">
        <v>3393</v>
      </c>
      <c r="F629" s="19" t="s">
        <v>3399</v>
      </c>
      <c r="G629" s="19" t="s">
        <v>1315</v>
      </c>
      <c r="H629" s="19" t="s">
        <v>3395</v>
      </c>
      <c r="I629" s="19" t="s">
        <v>3400</v>
      </c>
      <c r="J629" s="19" t="s">
        <v>3397</v>
      </c>
      <c r="K629" s="19" t="s">
        <v>1325</v>
      </c>
      <c r="L629" s="19" t="s">
        <v>1326</v>
      </c>
      <c r="M629" s="19" t="s">
        <v>126</v>
      </c>
      <c r="N629" s="19"/>
      <c r="O629" s="19" t="s">
        <v>1321</v>
      </c>
    </row>
    <row r="630" customFormat="false" ht="22.35" hidden="false" customHeight="false" outlineLevel="0" collapsed="false">
      <c r="A630" s="19" t="s">
        <v>3401</v>
      </c>
      <c r="B630" s="19" t="s">
        <v>126</v>
      </c>
      <c r="C630" s="19" t="str">
        <f aca="false">IFERROR(INDEX('Agent Roster'!$B:$B,MATCH(B630,'Agent Roster'!$A:$A,0)),"UNASSIGNED")</f>
        <v>Governance Designer (decision rights &amp; escalation)</v>
      </c>
      <c r="D630" s="19" t="str">
        <f aca="false">IFERROR(INDEX('Agent Roster'!$D:$D,MATCH(B630,'Agent Roster'!$A:$A,0)),"UNASSIGNED")</f>
        <v>Governance &amp; Meta-Tier</v>
      </c>
      <c r="E630" s="19" t="s">
        <v>3393</v>
      </c>
      <c r="F630" s="19" t="s">
        <v>3402</v>
      </c>
      <c r="G630" s="19" t="s">
        <v>1315</v>
      </c>
      <c r="H630" s="19" t="s">
        <v>3395</v>
      </c>
      <c r="I630" s="19" t="s">
        <v>3403</v>
      </c>
      <c r="J630" s="19" t="s">
        <v>3397</v>
      </c>
      <c r="K630" s="19" t="s">
        <v>1330</v>
      </c>
      <c r="L630" s="19" t="s">
        <v>1331</v>
      </c>
      <c r="M630" s="19" t="s">
        <v>126</v>
      </c>
      <c r="N630" s="19"/>
      <c r="O630" s="19" t="s">
        <v>1321</v>
      </c>
    </row>
    <row r="631" customFormat="false" ht="22.35" hidden="false" customHeight="false" outlineLevel="0" collapsed="false">
      <c r="A631" s="19" t="s">
        <v>3404</v>
      </c>
      <c r="B631" s="19" t="s">
        <v>126</v>
      </c>
      <c r="C631" s="19" t="str">
        <f aca="false">IFERROR(INDEX('Agent Roster'!$B:$B,MATCH(B631,'Agent Roster'!$A:$A,0)),"UNASSIGNED")</f>
        <v>Governance Designer (decision rights &amp; escalation)</v>
      </c>
      <c r="D631" s="19" t="str">
        <f aca="false">IFERROR(INDEX('Agent Roster'!$D:$D,MATCH(B631,'Agent Roster'!$A:$A,0)),"UNASSIGNED")</f>
        <v>Governance &amp; Meta-Tier</v>
      </c>
      <c r="E631" s="19" t="s">
        <v>3393</v>
      </c>
      <c r="F631" s="19" t="s">
        <v>3405</v>
      </c>
      <c r="G631" s="19" t="s">
        <v>1315</v>
      </c>
      <c r="H631" s="19" t="s">
        <v>3395</v>
      </c>
      <c r="I631" s="19" t="s">
        <v>3406</v>
      </c>
      <c r="J631" s="19" t="s">
        <v>3397</v>
      </c>
      <c r="K631" s="19" t="s">
        <v>1335</v>
      </c>
      <c r="L631" s="19" t="s">
        <v>1336</v>
      </c>
      <c r="M631" s="19" t="s">
        <v>126</v>
      </c>
      <c r="N631" s="19"/>
      <c r="O631" s="19" t="s">
        <v>1321</v>
      </c>
    </row>
    <row r="632" customFormat="false" ht="22.35" hidden="false" customHeight="false" outlineLevel="0" collapsed="false">
      <c r="A632" s="19" t="s">
        <v>3407</v>
      </c>
      <c r="B632" s="19" t="s">
        <v>126</v>
      </c>
      <c r="C632" s="19" t="str">
        <f aca="false">IFERROR(INDEX('Agent Roster'!$B:$B,MATCH(B632,'Agent Roster'!$A:$A,0)),"UNASSIGNED")</f>
        <v>Governance Designer (decision rights &amp; escalation)</v>
      </c>
      <c r="D632" s="19" t="str">
        <f aca="false">IFERROR(INDEX('Agent Roster'!$D:$D,MATCH(B632,'Agent Roster'!$A:$A,0)),"UNASSIGNED")</f>
        <v>Governance &amp; Meta-Tier</v>
      </c>
      <c r="E632" s="19" t="s">
        <v>3393</v>
      </c>
      <c r="F632" s="19" t="s">
        <v>3408</v>
      </c>
      <c r="G632" s="19" t="s">
        <v>1315</v>
      </c>
      <c r="H632" s="19" t="s">
        <v>3395</v>
      </c>
      <c r="I632" s="19" t="s">
        <v>3409</v>
      </c>
      <c r="J632" s="19" t="s">
        <v>3397</v>
      </c>
      <c r="K632" s="19" t="s">
        <v>1340</v>
      </c>
      <c r="L632" s="19" t="s">
        <v>1341</v>
      </c>
      <c r="M632" s="19" t="s">
        <v>126</v>
      </c>
      <c r="N632" s="19"/>
      <c r="O632" s="19" t="s">
        <v>1321</v>
      </c>
    </row>
    <row r="633" customFormat="false" ht="22.35" hidden="false" customHeight="false" outlineLevel="0" collapsed="false">
      <c r="A633" s="19" t="s">
        <v>3410</v>
      </c>
      <c r="B633" s="19" t="s">
        <v>126</v>
      </c>
      <c r="C633" s="19" t="str">
        <f aca="false">IFERROR(INDEX('Agent Roster'!$B:$B,MATCH(B633,'Agent Roster'!$A:$A,0)),"UNASSIGNED")</f>
        <v>Governance Designer (decision rights &amp; escalation)</v>
      </c>
      <c r="D633" s="19" t="str">
        <f aca="false">IFERROR(INDEX('Agent Roster'!$D:$D,MATCH(B633,'Agent Roster'!$A:$A,0)),"UNASSIGNED")</f>
        <v>Governance &amp; Meta-Tier</v>
      </c>
      <c r="E633" s="19" t="s">
        <v>3393</v>
      </c>
      <c r="F633" s="19" t="s">
        <v>3411</v>
      </c>
      <c r="G633" s="19" t="s">
        <v>1315</v>
      </c>
      <c r="H633" s="19" t="s">
        <v>3395</v>
      </c>
      <c r="I633" s="19" t="s">
        <v>3412</v>
      </c>
      <c r="J633" s="19" t="s">
        <v>3397</v>
      </c>
      <c r="K633" s="19" t="s">
        <v>1345</v>
      </c>
      <c r="L633" s="19" t="s">
        <v>1346</v>
      </c>
      <c r="M633" s="19" t="s">
        <v>126</v>
      </c>
      <c r="N633" s="19"/>
      <c r="O633" s="19" t="s">
        <v>1321</v>
      </c>
    </row>
    <row r="634" customFormat="false" ht="22.35" hidden="false" customHeight="false" outlineLevel="0" collapsed="false">
      <c r="A634" s="19" t="s">
        <v>3413</v>
      </c>
      <c r="B634" s="19" t="s">
        <v>126</v>
      </c>
      <c r="C634" s="19" t="str">
        <f aca="false">IFERROR(INDEX('Agent Roster'!$B:$B,MATCH(B634,'Agent Roster'!$A:$A,0)),"UNASSIGNED")</f>
        <v>Governance Designer (decision rights &amp; escalation)</v>
      </c>
      <c r="D634" s="19" t="str">
        <f aca="false">IFERROR(INDEX('Agent Roster'!$D:$D,MATCH(B634,'Agent Roster'!$A:$A,0)),"UNASSIGNED")</f>
        <v>Governance &amp; Meta-Tier</v>
      </c>
      <c r="E634" s="19" t="s">
        <v>3393</v>
      </c>
      <c r="F634" s="19" t="s">
        <v>3414</v>
      </c>
      <c r="G634" s="19" t="s">
        <v>1315</v>
      </c>
      <c r="H634" s="19" t="s">
        <v>3395</v>
      </c>
      <c r="I634" s="19" t="s">
        <v>3415</v>
      </c>
      <c r="J634" s="19" t="s">
        <v>3397</v>
      </c>
      <c r="K634" s="19" t="s">
        <v>1350</v>
      </c>
      <c r="L634" s="19" t="s">
        <v>1351</v>
      </c>
      <c r="M634" s="19" t="s">
        <v>126</v>
      </c>
      <c r="N634" s="19"/>
      <c r="O634" s="19" t="s">
        <v>1321</v>
      </c>
    </row>
    <row r="635" customFormat="false" ht="22.35" hidden="false" customHeight="false" outlineLevel="0" collapsed="false">
      <c r="A635" s="19" t="s">
        <v>3416</v>
      </c>
      <c r="B635" s="19" t="s">
        <v>126</v>
      </c>
      <c r="C635" s="19" t="str">
        <f aca="false">IFERROR(INDEX('Agent Roster'!$B:$B,MATCH(B635,'Agent Roster'!$A:$A,0)),"UNASSIGNED")</f>
        <v>Governance Designer (decision rights &amp; escalation)</v>
      </c>
      <c r="D635" s="19" t="str">
        <f aca="false">IFERROR(INDEX('Agent Roster'!$D:$D,MATCH(B635,'Agent Roster'!$A:$A,0)),"UNASSIGNED")</f>
        <v>Governance &amp; Meta-Tier</v>
      </c>
      <c r="E635" s="19" t="s">
        <v>3393</v>
      </c>
      <c r="F635" s="19" t="s">
        <v>3417</v>
      </c>
      <c r="G635" s="19" t="s">
        <v>1315</v>
      </c>
      <c r="H635" s="19" t="s">
        <v>3395</v>
      </c>
      <c r="I635" s="19" t="s">
        <v>3418</v>
      </c>
      <c r="J635" s="19" t="s">
        <v>3397</v>
      </c>
      <c r="K635" s="19" t="s">
        <v>1355</v>
      </c>
      <c r="L635" s="19" t="s">
        <v>1356</v>
      </c>
      <c r="M635" s="19" t="s">
        <v>126</v>
      </c>
      <c r="N635" s="19"/>
      <c r="O635" s="19" t="s">
        <v>1321</v>
      </c>
    </row>
    <row r="636" customFormat="false" ht="22.35" hidden="false" customHeight="false" outlineLevel="0" collapsed="false">
      <c r="A636" s="19" t="s">
        <v>3419</v>
      </c>
      <c r="B636" s="19" t="s">
        <v>126</v>
      </c>
      <c r="C636" s="19" t="str">
        <f aca="false">IFERROR(INDEX('Agent Roster'!$B:$B,MATCH(B636,'Agent Roster'!$A:$A,0)),"UNASSIGNED")</f>
        <v>Governance Designer (decision rights &amp; escalation)</v>
      </c>
      <c r="D636" s="19" t="str">
        <f aca="false">IFERROR(INDEX('Agent Roster'!$D:$D,MATCH(B636,'Agent Roster'!$A:$A,0)),"UNASSIGNED")</f>
        <v>Governance &amp; Meta-Tier</v>
      </c>
      <c r="E636" s="19" t="s">
        <v>3393</v>
      </c>
      <c r="F636" s="19" t="s">
        <v>3420</v>
      </c>
      <c r="G636" s="19" t="s">
        <v>1315</v>
      </c>
      <c r="H636" s="19" t="s">
        <v>3395</v>
      </c>
      <c r="I636" s="19" t="s">
        <v>3421</v>
      </c>
      <c r="J636" s="19" t="s">
        <v>3397</v>
      </c>
      <c r="K636" s="19" t="s">
        <v>1360</v>
      </c>
      <c r="L636" s="19" t="s">
        <v>1376</v>
      </c>
      <c r="M636" s="19" t="s">
        <v>1377</v>
      </c>
      <c r="N636" s="19"/>
      <c r="O636" s="19" t="s">
        <v>1321</v>
      </c>
    </row>
    <row r="637" customFormat="false" ht="32.8" hidden="false" customHeight="false" outlineLevel="0" collapsed="false">
      <c r="A637" s="19" t="s">
        <v>3422</v>
      </c>
      <c r="B637" s="19" t="s">
        <v>114</v>
      </c>
      <c r="C637" s="19" t="str">
        <f aca="false">IFERROR(INDEX('Agent Roster'!$B:$B,MATCH(B637,'Agent Roster'!$A:$A,0)),"UNASSIGNED")</f>
        <v>AI Alignment Agent (agent-fleet oversight)</v>
      </c>
      <c r="D637" s="19" t="str">
        <f aca="false">IFERROR(INDEX('Agent Roster'!$D:$D,MATCH(B637,'Agent Roster'!$A:$A,0)),"UNASSIGNED")</f>
        <v>Governance &amp; Meta-Tier</v>
      </c>
      <c r="E637" s="19" t="s">
        <v>3423</v>
      </c>
      <c r="F637" s="19" t="s">
        <v>3424</v>
      </c>
      <c r="G637" s="19" t="s">
        <v>1315</v>
      </c>
      <c r="H637" s="19" t="s">
        <v>117</v>
      </c>
      <c r="I637" s="19" t="s">
        <v>3425</v>
      </c>
      <c r="J637" s="19" t="s">
        <v>3426</v>
      </c>
      <c r="K637" s="19" t="s">
        <v>1319</v>
      </c>
      <c r="L637" s="19" t="s">
        <v>1320</v>
      </c>
      <c r="M637" s="19" t="s">
        <v>114</v>
      </c>
      <c r="N637" s="19"/>
      <c r="O637" s="19" t="s">
        <v>1321</v>
      </c>
    </row>
    <row r="638" customFormat="false" ht="32.8" hidden="false" customHeight="false" outlineLevel="0" collapsed="false">
      <c r="A638" s="19" t="s">
        <v>3427</v>
      </c>
      <c r="B638" s="19" t="s">
        <v>114</v>
      </c>
      <c r="C638" s="19" t="str">
        <f aca="false">IFERROR(INDEX('Agent Roster'!$B:$B,MATCH(B638,'Agent Roster'!$A:$A,0)),"UNASSIGNED")</f>
        <v>AI Alignment Agent (agent-fleet oversight)</v>
      </c>
      <c r="D638" s="19" t="str">
        <f aca="false">IFERROR(INDEX('Agent Roster'!$D:$D,MATCH(B638,'Agent Roster'!$A:$A,0)),"UNASSIGNED")</f>
        <v>Governance &amp; Meta-Tier</v>
      </c>
      <c r="E638" s="19" t="s">
        <v>3423</v>
      </c>
      <c r="F638" s="19" t="s">
        <v>3428</v>
      </c>
      <c r="G638" s="19" t="s">
        <v>1315</v>
      </c>
      <c r="H638" s="19" t="s">
        <v>117</v>
      </c>
      <c r="I638" s="19" t="s">
        <v>3429</v>
      </c>
      <c r="J638" s="19" t="s">
        <v>3426</v>
      </c>
      <c r="K638" s="19" t="s">
        <v>1325</v>
      </c>
      <c r="L638" s="19" t="s">
        <v>1326</v>
      </c>
      <c r="M638" s="19" t="s">
        <v>114</v>
      </c>
      <c r="N638" s="19"/>
      <c r="O638" s="19" t="s">
        <v>1321</v>
      </c>
    </row>
    <row r="639" customFormat="false" ht="32.8" hidden="false" customHeight="false" outlineLevel="0" collapsed="false">
      <c r="A639" s="19" t="s">
        <v>3430</v>
      </c>
      <c r="B639" s="19" t="s">
        <v>114</v>
      </c>
      <c r="C639" s="19" t="str">
        <f aca="false">IFERROR(INDEX('Agent Roster'!$B:$B,MATCH(B639,'Agent Roster'!$A:$A,0)),"UNASSIGNED")</f>
        <v>AI Alignment Agent (agent-fleet oversight)</v>
      </c>
      <c r="D639" s="19" t="str">
        <f aca="false">IFERROR(INDEX('Agent Roster'!$D:$D,MATCH(B639,'Agent Roster'!$A:$A,0)),"UNASSIGNED")</f>
        <v>Governance &amp; Meta-Tier</v>
      </c>
      <c r="E639" s="19" t="s">
        <v>3423</v>
      </c>
      <c r="F639" s="19" t="s">
        <v>3431</v>
      </c>
      <c r="G639" s="19" t="s">
        <v>1315</v>
      </c>
      <c r="H639" s="19" t="s">
        <v>117</v>
      </c>
      <c r="I639" s="19" t="s">
        <v>3432</v>
      </c>
      <c r="J639" s="19" t="s">
        <v>3426</v>
      </c>
      <c r="K639" s="19" t="s">
        <v>1330</v>
      </c>
      <c r="L639" s="19" t="s">
        <v>1331</v>
      </c>
      <c r="M639" s="19" t="s">
        <v>114</v>
      </c>
      <c r="N639" s="19"/>
      <c r="O639" s="19" t="s">
        <v>1321</v>
      </c>
    </row>
    <row r="640" customFormat="false" ht="22.35" hidden="false" customHeight="false" outlineLevel="0" collapsed="false">
      <c r="A640" s="19" t="s">
        <v>3433</v>
      </c>
      <c r="B640" s="19" t="s">
        <v>114</v>
      </c>
      <c r="C640" s="19" t="str">
        <f aca="false">IFERROR(INDEX('Agent Roster'!$B:$B,MATCH(B640,'Agent Roster'!$A:$A,0)),"UNASSIGNED")</f>
        <v>AI Alignment Agent (agent-fleet oversight)</v>
      </c>
      <c r="D640" s="19" t="str">
        <f aca="false">IFERROR(INDEX('Agent Roster'!$D:$D,MATCH(B640,'Agent Roster'!$A:$A,0)),"UNASSIGNED")</f>
        <v>Governance &amp; Meta-Tier</v>
      </c>
      <c r="E640" s="19" t="s">
        <v>3423</v>
      </c>
      <c r="F640" s="19" t="s">
        <v>3434</v>
      </c>
      <c r="G640" s="19" t="s">
        <v>1315</v>
      </c>
      <c r="H640" s="19" t="s">
        <v>117</v>
      </c>
      <c r="I640" s="19" t="s">
        <v>3435</v>
      </c>
      <c r="J640" s="19" t="s">
        <v>3426</v>
      </c>
      <c r="K640" s="19" t="s">
        <v>1335</v>
      </c>
      <c r="L640" s="19" t="s">
        <v>1336</v>
      </c>
      <c r="M640" s="19" t="s">
        <v>114</v>
      </c>
      <c r="N640" s="19"/>
      <c r="O640" s="19" t="s">
        <v>1321</v>
      </c>
    </row>
    <row r="641" customFormat="false" ht="22.35" hidden="false" customHeight="false" outlineLevel="0" collapsed="false">
      <c r="A641" s="19" t="s">
        <v>3436</v>
      </c>
      <c r="B641" s="19" t="s">
        <v>114</v>
      </c>
      <c r="C641" s="19" t="str">
        <f aca="false">IFERROR(INDEX('Agent Roster'!$B:$B,MATCH(B641,'Agent Roster'!$A:$A,0)),"UNASSIGNED")</f>
        <v>AI Alignment Agent (agent-fleet oversight)</v>
      </c>
      <c r="D641" s="19" t="str">
        <f aca="false">IFERROR(INDEX('Agent Roster'!$D:$D,MATCH(B641,'Agent Roster'!$A:$A,0)),"UNASSIGNED")</f>
        <v>Governance &amp; Meta-Tier</v>
      </c>
      <c r="E641" s="19" t="s">
        <v>3423</v>
      </c>
      <c r="F641" s="19" t="s">
        <v>3437</v>
      </c>
      <c r="G641" s="19" t="s">
        <v>1315</v>
      </c>
      <c r="H641" s="19" t="s">
        <v>117</v>
      </c>
      <c r="I641" s="19" t="s">
        <v>3438</v>
      </c>
      <c r="J641" s="19" t="s">
        <v>3426</v>
      </c>
      <c r="K641" s="19" t="s">
        <v>1340</v>
      </c>
      <c r="L641" s="19" t="s">
        <v>1341</v>
      </c>
      <c r="M641" s="19" t="s">
        <v>114</v>
      </c>
      <c r="N641" s="19"/>
      <c r="O641" s="19" t="s">
        <v>1321</v>
      </c>
    </row>
    <row r="642" customFormat="false" ht="22.35" hidden="false" customHeight="false" outlineLevel="0" collapsed="false">
      <c r="A642" s="19" t="s">
        <v>3439</v>
      </c>
      <c r="B642" s="19" t="s">
        <v>114</v>
      </c>
      <c r="C642" s="19" t="str">
        <f aca="false">IFERROR(INDEX('Agent Roster'!$B:$B,MATCH(B642,'Agent Roster'!$A:$A,0)),"UNASSIGNED")</f>
        <v>AI Alignment Agent (agent-fleet oversight)</v>
      </c>
      <c r="D642" s="19" t="str">
        <f aca="false">IFERROR(INDEX('Agent Roster'!$D:$D,MATCH(B642,'Agent Roster'!$A:$A,0)),"UNASSIGNED")</f>
        <v>Governance &amp; Meta-Tier</v>
      </c>
      <c r="E642" s="19" t="s">
        <v>3423</v>
      </c>
      <c r="F642" s="19" t="s">
        <v>3440</v>
      </c>
      <c r="G642" s="19" t="s">
        <v>1315</v>
      </c>
      <c r="H642" s="19" t="s">
        <v>117</v>
      </c>
      <c r="I642" s="19" t="s">
        <v>3441</v>
      </c>
      <c r="J642" s="19" t="s">
        <v>3426</v>
      </c>
      <c r="K642" s="19" t="s">
        <v>1345</v>
      </c>
      <c r="L642" s="19" t="s">
        <v>1346</v>
      </c>
      <c r="M642" s="19" t="s">
        <v>114</v>
      </c>
      <c r="N642" s="19"/>
      <c r="O642" s="19" t="s">
        <v>1321</v>
      </c>
    </row>
    <row r="643" customFormat="false" ht="22.35" hidden="false" customHeight="false" outlineLevel="0" collapsed="false">
      <c r="A643" s="19" t="s">
        <v>3442</v>
      </c>
      <c r="B643" s="19" t="s">
        <v>114</v>
      </c>
      <c r="C643" s="19" t="str">
        <f aca="false">IFERROR(INDEX('Agent Roster'!$B:$B,MATCH(B643,'Agent Roster'!$A:$A,0)),"UNASSIGNED")</f>
        <v>AI Alignment Agent (agent-fleet oversight)</v>
      </c>
      <c r="D643" s="19" t="str">
        <f aca="false">IFERROR(INDEX('Agent Roster'!$D:$D,MATCH(B643,'Agent Roster'!$A:$A,0)),"UNASSIGNED")</f>
        <v>Governance &amp; Meta-Tier</v>
      </c>
      <c r="E643" s="19" t="s">
        <v>3423</v>
      </c>
      <c r="F643" s="19" t="s">
        <v>3443</v>
      </c>
      <c r="G643" s="19" t="s">
        <v>1315</v>
      </c>
      <c r="H643" s="19" t="s">
        <v>117</v>
      </c>
      <c r="I643" s="19" t="s">
        <v>3444</v>
      </c>
      <c r="J643" s="19" t="s">
        <v>3426</v>
      </c>
      <c r="K643" s="19" t="s">
        <v>1350</v>
      </c>
      <c r="L643" s="19" t="s">
        <v>1351</v>
      </c>
      <c r="M643" s="19" t="s">
        <v>114</v>
      </c>
      <c r="N643" s="19"/>
      <c r="O643" s="19" t="s">
        <v>1321</v>
      </c>
    </row>
    <row r="644" customFormat="false" ht="22.35" hidden="false" customHeight="false" outlineLevel="0" collapsed="false">
      <c r="A644" s="19" t="s">
        <v>3445</v>
      </c>
      <c r="B644" s="19" t="s">
        <v>114</v>
      </c>
      <c r="C644" s="19" t="str">
        <f aca="false">IFERROR(INDEX('Agent Roster'!$B:$B,MATCH(B644,'Agent Roster'!$A:$A,0)),"UNASSIGNED")</f>
        <v>AI Alignment Agent (agent-fleet oversight)</v>
      </c>
      <c r="D644" s="19" t="str">
        <f aca="false">IFERROR(INDEX('Agent Roster'!$D:$D,MATCH(B644,'Agent Roster'!$A:$A,0)),"UNASSIGNED")</f>
        <v>Governance &amp; Meta-Tier</v>
      </c>
      <c r="E644" s="19" t="s">
        <v>3423</v>
      </c>
      <c r="F644" s="19" t="s">
        <v>3446</v>
      </c>
      <c r="G644" s="19" t="s">
        <v>1315</v>
      </c>
      <c r="H644" s="19" t="s">
        <v>117</v>
      </c>
      <c r="I644" s="19" t="s">
        <v>3447</v>
      </c>
      <c r="J644" s="19" t="s">
        <v>3426</v>
      </c>
      <c r="K644" s="19" t="s">
        <v>1355</v>
      </c>
      <c r="L644" s="19" t="s">
        <v>1356</v>
      </c>
      <c r="M644" s="19" t="s">
        <v>114</v>
      </c>
      <c r="N644" s="19"/>
      <c r="O644" s="19" t="s">
        <v>1321</v>
      </c>
    </row>
    <row r="645" customFormat="false" ht="22.35" hidden="false" customHeight="false" outlineLevel="0" collapsed="false">
      <c r="A645" s="19" t="s">
        <v>3448</v>
      </c>
      <c r="B645" s="19" t="s">
        <v>114</v>
      </c>
      <c r="C645" s="19" t="str">
        <f aca="false">IFERROR(INDEX('Agent Roster'!$B:$B,MATCH(B645,'Agent Roster'!$A:$A,0)),"UNASSIGNED")</f>
        <v>AI Alignment Agent (agent-fleet oversight)</v>
      </c>
      <c r="D645" s="19" t="str">
        <f aca="false">IFERROR(INDEX('Agent Roster'!$D:$D,MATCH(B645,'Agent Roster'!$A:$A,0)),"UNASSIGNED")</f>
        <v>Governance &amp; Meta-Tier</v>
      </c>
      <c r="E645" s="19" t="s">
        <v>3423</v>
      </c>
      <c r="F645" s="19" t="s">
        <v>3449</v>
      </c>
      <c r="G645" s="19" t="s">
        <v>1315</v>
      </c>
      <c r="H645" s="19" t="s">
        <v>117</v>
      </c>
      <c r="I645" s="19" t="s">
        <v>3450</v>
      </c>
      <c r="J645" s="19" t="s">
        <v>3426</v>
      </c>
      <c r="K645" s="19" t="s">
        <v>1360</v>
      </c>
      <c r="L645" s="19" t="s">
        <v>1361</v>
      </c>
      <c r="M645" s="19" t="s">
        <v>114</v>
      </c>
      <c r="N645" s="19"/>
      <c r="O645" s="19" t="s">
        <v>1321</v>
      </c>
    </row>
    <row r="646" customFormat="false" ht="22.35" hidden="false" customHeight="false" outlineLevel="0" collapsed="false">
      <c r="A646" s="19" t="s">
        <v>3451</v>
      </c>
      <c r="B646" s="19" t="s">
        <v>114</v>
      </c>
      <c r="C646" s="19" t="str">
        <f aca="false">IFERROR(INDEX('Agent Roster'!$B:$B,MATCH(B646,'Agent Roster'!$A:$A,0)),"UNASSIGNED")</f>
        <v>AI Alignment Agent (agent-fleet oversight)</v>
      </c>
      <c r="D646" s="19" t="str">
        <f aca="false">IFERROR(INDEX('Agent Roster'!$D:$D,MATCH(B646,'Agent Roster'!$A:$A,0)),"UNASSIGNED")</f>
        <v>Governance &amp; Meta-Tier</v>
      </c>
      <c r="E646" s="19" t="s">
        <v>3423</v>
      </c>
      <c r="F646" s="19" t="s">
        <v>3452</v>
      </c>
      <c r="G646" s="19" t="s">
        <v>1315</v>
      </c>
      <c r="H646" s="19" t="s">
        <v>117</v>
      </c>
      <c r="I646" s="19" t="s">
        <v>3453</v>
      </c>
      <c r="J646" s="19" t="s">
        <v>3426</v>
      </c>
      <c r="K646" s="19" t="s">
        <v>1365</v>
      </c>
      <c r="L646" s="19" t="s">
        <v>1376</v>
      </c>
      <c r="M646" s="19" t="s">
        <v>1377</v>
      </c>
      <c r="N646" s="19"/>
      <c r="O646" s="19" t="s">
        <v>1321</v>
      </c>
    </row>
    <row r="647" customFormat="false" ht="22.35" hidden="false" customHeight="false" outlineLevel="0" collapsed="false">
      <c r="A647" s="19" t="s">
        <v>3454</v>
      </c>
      <c r="B647" s="19" t="s">
        <v>1191</v>
      </c>
      <c r="C647" s="19" t="str">
        <f aca="false">IFERROR(INDEX('Agent Roster'!$B:$B,MATCH(B647,'Agent Roster'!$A:$A,0)),"UNASSIGNED")</f>
        <v>Community &amp; Movement Agent</v>
      </c>
      <c r="D647" s="19" t="str">
        <f aca="false">IFERROR(INDEX('Agent Roster'!$D:$D,MATCH(B647,'Agent Roster'!$A:$A,0)),"UNASSIGNED")</f>
        <v>8 · Client Success Hub</v>
      </c>
      <c r="E647" s="19" t="s">
        <v>3455</v>
      </c>
      <c r="F647" s="19" t="s">
        <v>3456</v>
      </c>
      <c r="G647" s="19" t="s">
        <v>1315</v>
      </c>
      <c r="H647" s="19" t="s">
        <v>3457</v>
      </c>
      <c r="I647" s="19" t="s">
        <v>3458</v>
      </c>
      <c r="J647" s="19" t="s">
        <v>3459</v>
      </c>
      <c r="K647" s="19" t="s">
        <v>1319</v>
      </c>
      <c r="L647" s="19" t="s">
        <v>1320</v>
      </c>
      <c r="M647" s="19" t="s">
        <v>1191</v>
      </c>
      <c r="N647" s="19"/>
      <c r="O647" s="19" t="s">
        <v>1321</v>
      </c>
    </row>
    <row r="648" customFormat="false" ht="22.35" hidden="false" customHeight="false" outlineLevel="0" collapsed="false">
      <c r="A648" s="19" t="s">
        <v>3460</v>
      </c>
      <c r="B648" s="19" t="s">
        <v>1191</v>
      </c>
      <c r="C648" s="19" t="str">
        <f aca="false">IFERROR(INDEX('Agent Roster'!$B:$B,MATCH(B648,'Agent Roster'!$A:$A,0)),"UNASSIGNED")</f>
        <v>Community &amp; Movement Agent</v>
      </c>
      <c r="D648" s="19" t="str">
        <f aca="false">IFERROR(INDEX('Agent Roster'!$D:$D,MATCH(B648,'Agent Roster'!$A:$A,0)),"UNASSIGNED")</f>
        <v>8 · Client Success Hub</v>
      </c>
      <c r="E648" s="19" t="s">
        <v>3455</v>
      </c>
      <c r="F648" s="19" t="s">
        <v>3461</v>
      </c>
      <c r="G648" s="19" t="s">
        <v>1315</v>
      </c>
      <c r="H648" s="19" t="s">
        <v>3457</v>
      </c>
      <c r="I648" s="19" t="s">
        <v>3462</v>
      </c>
      <c r="J648" s="19" t="s">
        <v>3459</v>
      </c>
      <c r="K648" s="19" t="s">
        <v>1325</v>
      </c>
      <c r="L648" s="19" t="s">
        <v>1326</v>
      </c>
      <c r="M648" s="19" t="s">
        <v>1191</v>
      </c>
      <c r="N648" s="19"/>
      <c r="O648" s="19" t="s">
        <v>1321</v>
      </c>
    </row>
    <row r="649" customFormat="false" ht="22.35" hidden="false" customHeight="false" outlineLevel="0" collapsed="false">
      <c r="A649" s="19" t="s">
        <v>3463</v>
      </c>
      <c r="B649" s="19" t="s">
        <v>1191</v>
      </c>
      <c r="C649" s="19" t="str">
        <f aca="false">IFERROR(INDEX('Agent Roster'!$B:$B,MATCH(B649,'Agent Roster'!$A:$A,0)),"UNASSIGNED")</f>
        <v>Community &amp; Movement Agent</v>
      </c>
      <c r="D649" s="19" t="str">
        <f aca="false">IFERROR(INDEX('Agent Roster'!$D:$D,MATCH(B649,'Agent Roster'!$A:$A,0)),"UNASSIGNED")</f>
        <v>8 · Client Success Hub</v>
      </c>
      <c r="E649" s="19" t="s">
        <v>3455</v>
      </c>
      <c r="F649" s="19" t="s">
        <v>3464</v>
      </c>
      <c r="G649" s="19" t="s">
        <v>1315</v>
      </c>
      <c r="H649" s="19" t="s">
        <v>3457</v>
      </c>
      <c r="I649" s="19" t="s">
        <v>3465</v>
      </c>
      <c r="J649" s="19" t="s">
        <v>3459</v>
      </c>
      <c r="K649" s="19" t="s">
        <v>1330</v>
      </c>
      <c r="L649" s="19" t="s">
        <v>1331</v>
      </c>
      <c r="M649" s="19" t="s">
        <v>1191</v>
      </c>
      <c r="N649" s="19"/>
      <c r="O649" s="19" t="s">
        <v>1321</v>
      </c>
    </row>
    <row r="650" customFormat="false" ht="22.35" hidden="false" customHeight="false" outlineLevel="0" collapsed="false">
      <c r="A650" s="19" t="s">
        <v>3466</v>
      </c>
      <c r="B650" s="19" t="s">
        <v>1191</v>
      </c>
      <c r="C650" s="19" t="str">
        <f aca="false">IFERROR(INDEX('Agent Roster'!$B:$B,MATCH(B650,'Agent Roster'!$A:$A,0)),"UNASSIGNED")</f>
        <v>Community &amp; Movement Agent</v>
      </c>
      <c r="D650" s="19" t="str">
        <f aca="false">IFERROR(INDEX('Agent Roster'!$D:$D,MATCH(B650,'Agent Roster'!$A:$A,0)),"UNASSIGNED")</f>
        <v>8 · Client Success Hub</v>
      </c>
      <c r="E650" s="19" t="s">
        <v>3455</v>
      </c>
      <c r="F650" s="19" t="s">
        <v>3467</v>
      </c>
      <c r="G650" s="19" t="s">
        <v>1315</v>
      </c>
      <c r="H650" s="19" t="s">
        <v>3457</v>
      </c>
      <c r="I650" s="19" t="s">
        <v>3468</v>
      </c>
      <c r="J650" s="19" t="s">
        <v>3459</v>
      </c>
      <c r="K650" s="19" t="s">
        <v>1335</v>
      </c>
      <c r="L650" s="19" t="s">
        <v>1336</v>
      </c>
      <c r="M650" s="19" t="s">
        <v>1191</v>
      </c>
      <c r="N650" s="19"/>
      <c r="O650" s="19" t="s">
        <v>1321</v>
      </c>
    </row>
    <row r="651" customFormat="false" ht="22.35" hidden="false" customHeight="false" outlineLevel="0" collapsed="false">
      <c r="A651" s="19" t="s">
        <v>3469</v>
      </c>
      <c r="B651" s="19" t="s">
        <v>1191</v>
      </c>
      <c r="C651" s="19" t="str">
        <f aca="false">IFERROR(INDEX('Agent Roster'!$B:$B,MATCH(B651,'Agent Roster'!$A:$A,0)),"UNASSIGNED")</f>
        <v>Community &amp; Movement Agent</v>
      </c>
      <c r="D651" s="19" t="str">
        <f aca="false">IFERROR(INDEX('Agent Roster'!$D:$D,MATCH(B651,'Agent Roster'!$A:$A,0)),"UNASSIGNED")</f>
        <v>8 · Client Success Hub</v>
      </c>
      <c r="E651" s="19" t="s">
        <v>3455</v>
      </c>
      <c r="F651" s="19" t="s">
        <v>3470</v>
      </c>
      <c r="G651" s="19" t="s">
        <v>1315</v>
      </c>
      <c r="H651" s="19" t="s">
        <v>3457</v>
      </c>
      <c r="I651" s="19" t="s">
        <v>3471</v>
      </c>
      <c r="J651" s="19" t="s">
        <v>3459</v>
      </c>
      <c r="K651" s="19" t="s">
        <v>1340</v>
      </c>
      <c r="L651" s="19" t="s">
        <v>1341</v>
      </c>
      <c r="M651" s="19" t="s">
        <v>1191</v>
      </c>
      <c r="N651" s="19"/>
      <c r="O651" s="19" t="s">
        <v>1321</v>
      </c>
    </row>
    <row r="652" customFormat="false" ht="22.35" hidden="false" customHeight="false" outlineLevel="0" collapsed="false">
      <c r="A652" s="19" t="s">
        <v>3472</v>
      </c>
      <c r="B652" s="19" t="s">
        <v>1191</v>
      </c>
      <c r="C652" s="19" t="str">
        <f aca="false">IFERROR(INDEX('Agent Roster'!$B:$B,MATCH(B652,'Agent Roster'!$A:$A,0)),"UNASSIGNED")</f>
        <v>Community &amp; Movement Agent</v>
      </c>
      <c r="D652" s="19" t="str">
        <f aca="false">IFERROR(INDEX('Agent Roster'!$D:$D,MATCH(B652,'Agent Roster'!$A:$A,0)),"UNASSIGNED")</f>
        <v>8 · Client Success Hub</v>
      </c>
      <c r="E652" s="19" t="s">
        <v>3455</v>
      </c>
      <c r="F652" s="19" t="s">
        <v>3473</v>
      </c>
      <c r="G652" s="19" t="s">
        <v>1315</v>
      </c>
      <c r="H652" s="19" t="s">
        <v>3457</v>
      </c>
      <c r="I652" s="19" t="s">
        <v>3474</v>
      </c>
      <c r="J652" s="19" t="s">
        <v>3459</v>
      </c>
      <c r="K652" s="19" t="s">
        <v>1345</v>
      </c>
      <c r="L652" s="19" t="s">
        <v>1346</v>
      </c>
      <c r="M652" s="19" t="s">
        <v>1191</v>
      </c>
      <c r="N652" s="19"/>
      <c r="O652" s="19" t="s">
        <v>1321</v>
      </c>
    </row>
    <row r="653" customFormat="false" ht="22.35" hidden="false" customHeight="false" outlineLevel="0" collapsed="false">
      <c r="A653" s="19" t="s">
        <v>3475</v>
      </c>
      <c r="B653" s="19" t="s">
        <v>1191</v>
      </c>
      <c r="C653" s="19" t="str">
        <f aca="false">IFERROR(INDEX('Agent Roster'!$B:$B,MATCH(B653,'Agent Roster'!$A:$A,0)),"UNASSIGNED")</f>
        <v>Community &amp; Movement Agent</v>
      </c>
      <c r="D653" s="19" t="str">
        <f aca="false">IFERROR(INDEX('Agent Roster'!$D:$D,MATCH(B653,'Agent Roster'!$A:$A,0)),"UNASSIGNED")</f>
        <v>8 · Client Success Hub</v>
      </c>
      <c r="E653" s="19" t="s">
        <v>3455</v>
      </c>
      <c r="F653" s="19" t="s">
        <v>3476</v>
      </c>
      <c r="G653" s="19" t="s">
        <v>1315</v>
      </c>
      <c r="H653" s="19" t="s">
        <v>3457</v>
      </c>
      <c r="I653" s="19" t="s">
        <v>3477</v>
      </c>
      <c r="J653" s="19" t="s">
        <v>3459</v>
      </c>
      <c r="K653" s="19" t="s">
        <v>1350</v>
      </c>
      <c r="L653" s="19" t="s">
        <v>1351</v>
      </c>
      <c r="M653" s="19" t="s">
        <v>1191</v>
      </c>
      <c r="N653" s="19"/>
      <c r="O653" s="19" t="s">
        <v>1321</v>
      </c>
    </row>
    <row r="654" customFormat="false" ht="22.35" hidden="false" customHeight="false" outlineLevel="0" collapsed="false">
      <c r="A654" s="19" t="s">
        <v>3478</v>
      </c>
      <c r="B654" s="19" t="s">
        <v>1191</v>
      </c>
      <c r="C654" s="19" t="str">
        <f aca="false">IFERROR(INDEX('Agent Roster'!$B:$B,MATCH(B654,'Agent Roster'!$A:$A,0)),"UNASSIGNED")</f>
        <v>Community &amp; Movement Agent</v>
      </c>
      <c r="D654" s="19" t="str">
        <f aca="false">IFERROR(INDEX('Agent Roster'!$D:$D,MATCH(B654,'Agent Roster'!$A:$A,0)),"UNASSIGNED")</f>
        <v>8 · Client Success Hub</v>
      </c>
      <c r="E654" s="19" t="s">
        <v>3455</v>
      </c>
      <c r="F654" s="19" t="s">
        <v>3479</v>
      </c>
      <c r="G654" s="19" t="s">
        <v>1315</v>
      </c>
      <c r="H654" s="19" t="s">
        <v>3457</v>
      </c>
      <c r="I654" s="19" t="s">
        <v>3480</v>
      </c>
      <c r="J654" s="19" t="s">
        <v>3459</v>
      </c>
      <c r="K654" s="19" t="s">
        <v>1355</v>
      </c>
      <c r="L654" s="19" t="s">
        <v>1356</v>
      </c>
      <c r="M654" s="19" t="s">
        <v>1191</v>
      </c>
      <c r="N654" s="19"/>
      <c r="O654" s="19" t="s">
        <v>1321</v>
      </c>
    </row>
    <row r="655" customFormat="false" ht="22.35" hidden="false" customHeight="false" outlineLevel="0" collapsed="false">
      <c r="A655" s="19" t="s">
        <v>3481</v>
      </c>
      <c r="B655" s="19" t="s">
        <v>1191</v>
      </c>
      <c r="C655" s="19" t="str">
        <f aca="false">IFERROR(INDEX('Agent Roster'!$B:$B,MATCH(B655,'Agent Roster'!$A:$A,0)),"UNASSIGNED")</f>
        <v>Community &amp; Movement Agent</v>
      </c>
      <c r="D655" s="19" t="str">
        <f aca="false">IFERROR(INDEX('Agent Roster'!$D:$D,MATCH(B655,'Agent Roster'!$A:$A,0)),"UNASSIGNED")</f>
        <v>8 · Client Success Hub</v>
      </c>
      <c r="E655" s="19" t="s">
        <v>3455</v>
      </c>
      <c r="F655" s="19" t="s">
        <v>3482</v>
      </c>
      <c r="G655" s="19" t="s">
        <v>1315</v>
      </c>
      <c r="H655" s="19" t="s">
        <v>3457</v>
      </c>
      <c r="I655" s="19" t="s">
        <v>3483</v>
      </c>
      <c r="J655" s="19" t="s">
        <v>3459</v>
      </c>
      <c r="K655" s="19" t="s">
        <v>1360</v>
      </c>
      <c r="L655" s="19" t="s">
        <v>1376</v>
      </c>
      <c r="M655" s="19" t="s">
        <v>1377</v>
      </c>
      <c r="N655" s="19"/>
      <c r="O655" s="19" t="s">
        <v>1321</v>
      </c>
    </row>
    <row r="656" customFormat="false" ht="22.35" hidden="false" customHeight="false" outlineLevel="0" collapsed="false">
      <c r="A656" s="19" t="s">
        <v>3484</v>
      </c>
      <c r="B656" s="19" t="s">
        <v>47</v>
      </c>
      <c r="C656" s="19" t="str">
        <f aca="false">IFERROR(INDEX('Agent Roster'!$B:$B,MATCH(B656,'Agent Roster'!$A:$A,0)),"UNASSIGNED")</f>
        <v>Founder / Operator (HUMAN)</v>
      </c>
      <c r="D656" s="19" t="str">
        <f aca="false">IFERROR(INDEX('Agent Roster'!$D:$D,MATCH(B656,'Agent Roster'!$A:$A,0)),"UNASSIGNED")</f>
        <v>Governance &amp; Meta-Tier</v>
      </c>
      <c r="E656" s="19" t="s">
        <v>3485</v>
      </c>
      <c r="F656" s="19" t="s">
        <v>3486</v>
      </c>
      <c r="G656" s="19" t="s">
        <v>1315</v>
      </c>
      <c r="H656" s="19" t="s">
        <v>3487</v>
      </c>
      <c r="I656" s="19" t="s">
        <v>3488</v>
      </c>
      <c r="J656" s="19" t="s">
        <v>51</v>
      </c>
      <c r="K656" s="19" t="s">
        <v>1319</v>
      </c>
      <c r="L656" s="19" t="s">
        <v>1320</v>
      </c>
      <c r="M656" s="19" t="s">
        <v>47</v>
      </c>
      <c r="N656" s="19" t="s">
        <v>1657</v>
      </c>
      <c r="O656" s="19" t="s">
        <v>1321</v>
      </c>
    </row>
    <row r="657" customFormat="false" ht="32.8" hidden="false" customHeight="false" outlineLevel="0" collapsed="false">
      <c r="A657" s="19" t="s">
        <v>3489</v>
      </c>
      <c r="B657" s="19" t="s">
        <v>47</v>
      </c>
      <c r="C657" s="19" t="str">
        <f aca="false">IFERROR(INDEX('Agent Roster'!$B:$B,MATCH(B657,'Agent Roster'!$A:$A,0)),"UNASSIGNED")</f>
        <v>Founder / Operator (HUMAN)</v>
      </c>
      <c r="D657" s="19" t="str">
        <f aca="false">IFERROR(INDEX('Agent Roster'!$D:$D,MATCH(B657,'Agent Roster'!$A:$A,0)),"UNASSIGNED")</f>
        <v>Governance &amp; Meta-Tier</v>
      </c>
      <c r="E657" s="19" t="s">
        <v>3485</v>
      </c>
      <c r="F657" s="19" t="s">
        <v>3490</v>
      </c>
      <c r="G657" s="19" t="s">
        <v>1315</v>
      </c>
      <c r="H657" s="19" t="s">
        <v>3487</v>
      </c>
      <c r="I657" s="19" t="s">
        <v>3491</v>
      </c>
      <c r="J657" s="19" t="s">
        <v>51</v>
      </c>
      <c r="K657" s="19" t="s">
        <v>1325</v>
      </c>
      <c r="L657" s="19" t="s">
        <v>1326</v>
      </c>
      <c r="M657" s="19" t="s">
        <v>47</v>
      </c>
      <c r="N657" s="19" t="s">
        <v>1657</v>
      </c>
      <c r="O657" s="19" t="s">
        <v>1321</v>
      </c>
    </row>
    <row r="658" customFormat="false" ht="22.35" hidden="false" customHeight="false" outlineLevel="0" collapsed="false">
      <c r="A658" s="19" t="s">
        <v>3492</v>
      </c>
      <c r="B658" s="19" t="s">
        <v>47</v>
      </c>
      <c r="C658" s="19" t="str">
        <f aca="false">IFERROR(INDEX('Agent Roster'!$B:$B,MATCH(B658,'Agent Roster'!$A:$A,0)),"UNASSIGNED")</f>
        <v>Founder / Operator (HUMAN)</v>
      </c>
      <c r="D658" s="19" t="str">
        <f aca="false">IFERROR(INDEX('Agent Roster'!$D:$D,MATCH(B658,'Agent Roster'!$A:$A,0)),"UNASSIGNED")</f>
        <v>Governance &amp; Meta-Tier</v>
      </c>
      <c r="E658" s="19" t="s">
        <v>3485</v>
      </c>
      <c r="F658" s="19" t="s">
        <v>3493</v>
      </c>
      <c r="G658" s="19" t="s">
        <v>1315</v>
      </c>
      <c r="H658" s="19" t="s">
        <v>3487</v>
      </c>
      <c r="I658" s="19" t="s">
        <v>3494</v>
      </c>
      <c r="J658" s="19" t="s">
        <v>51</v>
      </c>
      <c r="K658" s="19" t="s">
        <v>1330</v>
      </c>
      <c r="L658" s="19" t="s">
        <v>1331</v>
      </c>
      <c r="M658" s="19" t="s">
        <v>47</v>
      </c>
      <c r="N658" s="19" t="s">
        <v>1657</v>
      </c>
      <c r="O658" s="19" t="s">
        <v>1321</v>
      </c>
    </row>
    <row r="659" customFormat="false" ht="22.35" hidden="false" customHeight="false" outlineLevel="0" collapsed="false">
      <c r="A659" s="19" t="s">
        <v>3495</v>
      </c>
      <c r="B659" s="19" t="s">
        <v>47</v>
      </c>
      <c r="C659" s="19" t="str">
        <f aca="false">IFERROR(INDEX('Agent Roster'!$B:$B,MATCH(B659,'Agent Roster'!$A:$A,0)),"UNASSIGNED")</f>
        <v>Founder / Operator (HUMAN)</v>
      </c>
      <c r="D659" s="19" t="str">
        <f aca="false">IFERROR(INDEX('Agent Roster'!$D:$D,MATCH(B659,'Agent Roster'!$A:$A,0)),"UNASSIGNED")</f>
        <v>Governance &amp; Meta-Tier</v>
      </c>
      <c r="E659" s="19" t="s">
        <v>3485</v>
      </c>
      <c r="F659" s="19" t="s">
        <v>3496</v>
      </c>
      <c r="G659" s="19" t="s">
        <v>1315</v>
      </c>
      <c r="H659" s="19" t="s">
        <v>3487</v>
      </c>
      <c r="I659" s="19" t="s">
        <v>3497</v>
      </c>
      <c r="J659" s="19" t="s">
        <v>51</v>
      </c>
      <c r="K659" s="19" t="s">
        <v>1335</v>
      </c>
      <c r="L659" s="19" t="s">
        <v>1336</v>
      </c>
      <c r="M659" s="19" t="s">
        <v>47</v>
      </c>
      <c r="N659" s="19" t="s">
        <v>1657</v>
      </c>
      <c r="O659" s="19" t="s">
        <v>1321</v>
      </c>
    </row>
    <row r="660" customFormat="false" ht="22.35" hidden="false" customHeight="false" outlineLevel="0" collapsed="false">
      <c r="A660" s="19" t="s">
        <v>3498</v>
      </c>
      <c r="B660" s="19" t="s">
        <v>47</v>
      </c>
      <c r="C660" s="19" t="str">
        <f aca="false">IFERROR(INDEX('Agent Roster'!$B:$B,MATCH(B660,'Agent Roster'!$A:$A,0)),"UNASSIGNED")</f>
        <v>Founder / Operator (HUMAN)</v>
      </c>
      <c r="D660" s="19" t="str">
        <f aca="false">IFERROR(INDEX('Agent Roster'!$D:$D,MATCH(B660,'Agent Roster'!$A:$A,0)),"UNASSIGNED")</f>
        <v>Governance &amp; Meta-Tier</v>
      </c>
      <c r="E660" s="19" t="s">
        <v>3485</v>
      </c>
      <c r="F660" s="19" t="s">
        <v>3499</v>
      </c>
      <c r="G660" s="19" t="s">
        <v>1315</v>
      </c>
      <c r="H660" s="19" t="s">
        <v>3487</v>
      </c>
      <c r="I660" s="19" t="s">
        <v>3500</v>
      </c>
      <c r="J660" s="19" t="s">
        <v>51</v>
      </c>
      <c r="K660" s="19" t="s">
        <v>1340</v>
      </c>
      <c r="L660" s="19" t="s">
        <v>1341</v>
      </c>
      <c r="M660" s="19" t="s">
        <v>47</v>
      </c>
      <c r="N660" s="19" t="s">
        <v>1657</v>
      </c>
      <c r="O660" s="19" t="s">
        <v>1321</v>
      </c>
    </row>
    <row r="661" customFormat="false" ht="22.35" hidden="false" customHeight="false" outlineLevel="0" collapsed="false">
      <c r="A661" s="19" t="s">
        <v>3501</v>
      </c>
      <c r="B661" s="19" t="s">
        <v>47</v>
      </c>
      <c r="C661" s="19" t="str">
        <f aca="false">IFERROR(INDEX('Agent Roster'!$B:$B,MATCH(B661,'Agent Roster'!$A:$A,0)),"UNASSIGNED")</f>
        <v>Founder / Operator (HUMAN)</v>
      </c>
      <c r="D661" s="19" t="str">
        <f aca="false">IFERROR(INDEX('Agent Roster'!$D:$D,MATCH(B661,'Agent Roster'!$A:$A,0)),"UNASSIGNED")</f>
        <v>Governance &amp; Meta-Tier</v>
      </c>
      <c r="E661" s="19" t="s">
        <v>3485</v>
      </c>
      <c r="F661" s="19" t="s">
        <v>3502</v>
      </c>
      <c r="G661" s="19" t="s">
        <v>1315</v>
      </c>
      <c r="H661" s="19" t="s">
        <v>3487</v>
      </c>
      <c r="I661" s="19" t="s">
        <v>3503</v>
      </c>
      <c r="J661" s="19" t="s">
        <v>51</v>
      </c>
      <c r="K661" s="19" t="s">
        <v>1345</v>
      </c>
      <c r="L661" s="19" t="s">
        <v>1346</v>
      </c>
      <c r="M661" s="19" t="s">
        <v>47</v>
      </c>
      <c r="N661" s="19" t="s">
        <v>1657</v>
      </c>
      <c r="O661" s="19" t="s">
        <v>1321</v>
      </c>
    </row>
    <row r="662" customFormat="false" ht="22.35" hidden="false" customHeight="false" outlineLevel="0" collapsed="false">
      <c r="A662" s="19" t="s">
        <v>3504</v>
      </c>
      <c r="B662" s="19" t="s">
        <v>47</v>
      </c>
      <c r="C662" s="19" t="str">
        <f aca="false">IFERROR(INDEX('Agent Roster'!$B:$B,MATCH(B662,'Agent Roster'!$A:$A,0)),"UNASSIGNED")</f>
        <v>Founder / Operator (HUMAN)</v>
      </c>
      <c r="D662" s="19" t="str">
        <f aca="false">IFERROR(INDEX('Agent Roster'!$D:$D,MATCH(B662,'Agent Roster'!$A:$A,0)),"UNASSIGNED")</f>
        <v>Governance &amp; Meta-Tier</v>
      </c>
      <c r="E662" s="19" t="s">
        <v>3485</v>
      </c>
      <c r="F662" s="19" t="s">
        <v>3505</v>
      </c>
      <c r="G662" s="19" t="s">
        <v>1315</v>
      </c>
      <c r="H662" s="19" t="s">
        <v>3487</v>
      </c>
      <c r="I662" s="19" t="s">
        <v>3506</v>
      </c>
      <c r="J662" s="19" t="s">
        <v>51</v>
      </c>
      <c r="K662" s="19" t="s">
        <v>1350</v>
      </c>
      <c r="L662" s="19" t="s">
        <v>1351</v>
      </c>
      <c r="M662" s="19" t="s">
        <v>47</v>
      </c>
      <c r="N662" s="19" t="s">
        <v>1657</v>
      </c>
      <c r="O662" s="19" t="s">
        <v>1321</v>
      </c>
    </row>
    <row r="663" customFormat="false" ht="22.35" hidden="false" customHeight="false" outlineLevel="0" collapsed="false">
      <c r="A663" s="19" t="s">
        <v>3507</v>
      </c>
      <c r="B663" s="19" t="s">
        <v>47</v>
      </c>
      <c r="C663" s="19" t="str">
        <f aca="false">IFERROR(INDEX('Agent Roster'!$B:$B,MATCH(B663,'Agent Roster'!$A:$A,0)),"UNASSIGNED")</f>
        <v>Founder / Operator (HUMAN)</v>
      </c>
      <c r="D663" s="19" t="str">
        <f aca="false">IFERROR(INDEX('Agent Roster'!$D:$D,MATCH(B663,'Agent Roster'!$A:$A,0)),"UNASSIGNED")</f>
        <v>Governance &amp; Meta-Tier</v>
      </c>
      <c r="E663" s="19" t="s">
        <v>3485</v>
      </c>
      <c r="F663" s="19" t="s">
        <v>3508</v>
      </c>
      <c r="G663" s="19" t="s">
        <v>1315</v>
      </c>
      <c r="H663" s="19" t="s">
        <v>3487</v>
      </c>
      <c r="I663" s="19" t="s">
        <v>3509</v>
      </c>
      <c r="J663" s="19" t="s">
        <v>51</v>
      </c>
      <c r="K663" s="19" t="s">
        <v>1355</v>
      </c>
      <c r="L663" s="19" t="s">
        <v>1376</v>
      </c>
      <c r="M663" s="19" t="s">
        <v>1377</v>
      </c>
      <c r="N663" s="19" t="s">
        <v>1657</v>
      </c>
      <c r="O663" s="19" t="s">
        <v>1321</v>
      </c>
    </row>
    <row r="664" customFormat="false" ht="22.35" hidden="false" customHeight="false" outlineLevel="0" collapsed="false">
      <c r="A664" s="19" t="s">
        <v>3510</v>
      </c>
      <c r="B664" s="19" t="s">
        <v>403</v>
      </c>
      <c r="C664" s="19" t="str">
        <f aca="false">IFERROR(INDEX('Agent Roster'!$B:$B,MATCH(B664,'Agent Roster'!$A:$A,0)),"UNASSIGNED")</f>
        <v>Vision, Mission &amp; Purpose Steward</v>
      </c>
      <c r="D664" s="19" t="str">
        <f aca="false">IFERROR(INDEX('Agent Roster'!$D:$D,MATCH(B664,'Agent Roster'!$A:$A,0)),"UNASSIGNED")</f>
        <v>1 · Strategy Hub</v>
      </c>
      <c r="E664" s="19" t="s">
        <v>3511</v>
      </c>
      <c r="F664" s="19" t="s">
        <v>3512</v>
      </c>
      <c r="G664" s="19" t="s">
        <v>3513</v>
      </c>
      <c r="H664" s="19" t="s">
        <v>3514</v>
      </c>
      <c r="I664" s="19" t="s">
        <v>3515</v>
      </c>
      <c r="J664" s="19" t="s">
        <v>1068</v>
      </c>
      <c r="K664" s="19" t="s">
        <v>51</v>
      </c>
      <c r="L664" s="19" t="s">
        <v>3516</v>
      </c>
      <c r="M664" s="19" t="s">
        <v>388</v>
      </c>
      <c r="N664" s="19"/>
      <c r="O664" s="19" t="s">
        <v>3517</v>
      </c>
    </row>
    <row r="665" customFormat="false" ht="22.35" hidden="false" customHeight="false" outlineLevel="0" collapsed="false">
      <c r="A665" s="19" t="s">
        <v>3518</v>
      </c>
      <c r="B665" s="19" t="s">
        <v>403</v>
      </c>
      <c r="C665" s="19" t="str">
        <f aca="false">IFERROR(INDEX('Agent Roster'!$B:$B,MATCH(B665,'Agent Roster'!$A:$A,0)),"UNASSIGNED")</f>
        <v>Vision, Mission &amp; Purpose Steward</v>
      </c>
      <c r="D665" s="19" t="str">
        <f aca="false">IFERROR(INDEX('Agent Roster'!$D:$D,MATCH(B665,'Agent Roster'!$A:$A,0)),"UNASSIGNED")</f>
        <v>1 · Strategy Hub</v>
      </c>
      <c r="E665" s="19" t="s">
        <v>3519</v>
      </c>
      <c r="F665" s="19" t="s">
        <v>3520</v>
      </c>
      <c r="G665" s="19" t="s">
        <v>3513</v>
      </c>
      <c r="H665" s="19" t="s">
        <v>3514</v>
      </c>
      <c r="I665" s="19" t="s">
        <v>3515</v>
      </c>
      <c r="J665" s="19" t="s">
        <v>1068</v>
      </c>
      <c r="K665" s="19" t="s">
        <v>51</v>
      </c>
      <c r="L665" s="19" t="s">
        <v>3516</v>
      </c>
      <c r="M665" s="19" t="s">
        <v>388</v>
      </c>
      <c r="N665" s="19"/>
      <c r="O665" s="19" t="s">
        <v>3517</v>
      </c>
    </row>
    <row r="666" customFormat="false" ht="22.35" hidden="false" customHeight="false" outlineLevel="0" collapsed="false">
      <c r="A666" s="19" t="s">
        <v>3521</v>
      </c>
      <c r="B666" s="19" t="s">
        <v>416</v>
      </c>
      <c r="C666" s="19" t="str">
        <f aca="false">IFERROR(INDEX('Agent Roster'!$B:$B,MATCH(B666,'Agent Roster'!$A:$A,0)),"UNASSIGNED")</f>
        <v>Values &amp; Governing Principles Keeper</v>
      </c>
      <c r="D666" s="19" t="str">
        <f aca="false">IFERROR(INDEX('Agent Roster'!$D:$D,MATCH(B666,'Agent Roster'!$A:$A,0)),"UNASSIGNED")</f>
        <v>1 · Strategy Hub</v>
      </c>
      <c r="E666" s="19" t="s">
        <v>3522</v>
      </c>
      <c r="F666" s="19" t="s">
        <v>3523</v>
      </c>
      <c r="G666" s="19" t="s">
        <v>3513</v>
      </c>
      <c r="H666" s="19" t="s">
        <v>3514</v>
      </c>
      <c r="I666" s="19" t="s">
        <v>3515</v>
      </c>
      <c r="J666" s="19" t="s">
        <v>1068</v>
      </c>
      <c r="K666" s="19" t="s">
        <v>51</v>
      </c>
      <c r="L666" s="19" t="s">
        <v>3516</v>
      </c>
      <c r="M666" s="19" t="s">
        <v>388</v>
      </c>
      <c r="N666" s="19"/>
      <c r="O666" s="19" t="s">
        <v>3517</v>
      </c>
    </row>
    <row r="667" customFormat="false" ht="22.35" hidden="false" customHeight="false" outlineLevel="0" collapsed="false">
      <c r="A667" s="19" t="s">
        <v>3524</v>
      </c>
      <c r="B667" s="19" t="s">
        <v>416</v>
      </c>
      <c r="C667" s="19" t="str">
        <f aca="false">IFERROR(INDEX('Agent Roster'!$B:$B,MATCH(B667,'Agent Roster'!$A:$A,0)),"UNASSIGNED")</f>
        <v>Values &amp; Governing Principles Keeper</v>
      </c>
      <c r="D667" s="19" t="str">
        <f aca="false">IFERROR(INDEX('Agent Roster'!$D:$D,MATCH(B667,'Agent Roster'!$A:$A,0)),"UNASSIGNED")</f>
        <v>1 · Strategy Hub</v>
      </c>
      <c r="E667" s="19" t="s">
        <v>3525</v>
      </c>
      <c r="F667" s="19" t="s">
        <v>3526</v>
      </c>
      <c r="G667" s="19" t="s">
        <v>3513</v>
      </c>
      <c r="H667" s="19" t="s">
        <v>3514</v>
      </c>
      <c r="I667" s="19" t="s">
        <v>3515</v>
      </c>
      <c r="J667" s="19" t="s">
        <v>1068</v>
      </c>
      <c r="K667" s="19" t="s">
        <v>51</v>
      </c>
      <c r="L667" s="19" t="s">
        <v>3516</v>
      </c>
      <c r="M667" s="19" t="s">
        <v>388</v>
      </c>
      <c r="N667" s="19"/>
      <c r="O667" s="19" t="s">
        <v>3517</v>
      </c>
    </row>
    <row r="668" customFormat="false" ht="22.35" hidden="false" customHeight="false" outlineLevel="0" collapsed="false">
      <c r="A668" s="19" t="s">
        <v>3527</v>
      </c>
      <c r="B668" s="19" t="s">
        <v>428</v>
      </c>
      <c r="C668" s="19" t="str">
        <f aca="false">IFERROR(INDEX('Agent Roster'!$B:$B,MATCH(B668,'Agent Roster'!$A:$A,0)),"UNASSIGNED")</f>
        <v>Quarterly Direction &amp; Strategic Planning Agent</v>
      </c>
      <c r="D668" s="19" t="str">
        <f aca="false">IFERROR(INDEX('Agent Roster'!$D:$D,MATCH(B668,'Agent Roster'!$A:$A,0)),"UNASSIGNED")</f>
        <v>1 · Strategy Hub</v>
      </c>
      <c r="E668" s="19" t="s">
        <v>3528</v>
      </c>
      <c r="F668" s="19" t="s">
        <v>3529</v>
      </c>
      <c r="G668" s="19" t="s">
        <v>3513</v>
      </c>
      <c r="H668" s="19" t="s">
        <v>3514</v>
      </c>
      <c r="I668" s="19" t="s">
        <v>3515</v>
      </c>
      <c r="J668" s="19" t="s">
        <v>1068</v>
      </c>
      <c r="K668" s="19" t="s">
        <v>51</v>
      </c>
      <c r="L668" s="19" t="s">
        <v>3516</v>
      </c>
      <c r="M668" s="19" t="s">
        <v>388</v>
      </c>
      <c r="N668" s="19"/>
      <c r="O668" s="19" t="s">
        <v>3517</v>
      </c>
    </row>
    <row r="669" customFormat="false" ht="22.35" hidden="false" customHeight="false" outlineLevel="0" collapsed="false">
      <c r="A669" s="19" t="s">
        <v>3530</v>
      </c>
      <c r="B669" s="19" t="s">
        <v>440</v>
      </c>
      <c r="C669" s="19" t="str">
        <f aca="false">IFERROR(INDEX('Agent Roster'!$B:$B,MATCH(B669,'Agent Roster'!$A:$A,0)),"UNASSIGNED")</f>
        <v>Competitive Positioning &amp; Market Analyst</v>
      </c>
      <c r="D669" s="19" t="str">
        <f aca="false">IFERROR(INDEX('Agent Roster'!$D:$D,MATCH(B669,'Agent Roster'!$A:$A,0)),"UNASSIGNED")</f>
        <v>1 · Strategy Hub</v>
      </c>
      <c r="E669" s="19" t="s">
        <v>3531</v>
      </c>
      <c r="F669" s="19" t="s">
        <v>3532</v>
      </c>
      <c r="G669" s="19" t="s">
        <v>3513</v>
      </c>
      <c r="H669" s="19" t="s">
        <v>3514</v>
      </c>
      <c r="I669" s="19" t="s">
        <v>3515</v>
      </c>
      <c r="J669" s="19" t="s">
        <v>1068</v>
      </c>
      <c r="K669" s="19" t="s">
        <v>51</v>
      </c>
      <c r="L669" s="19" t="s">
        <v>3516</v>
      </c>
      <c r="M669" s="19" t="s">
        <v>388</v>
      </c>
      <c r="N669" s="19"/>
      <c r="O669" s="19" t="s">
        <v>3517</v>
      </c>
    </row>
    <row r="670" customFormat="false" ht="22.35" hidden="false" customHeight="false" outlineLevel="0" collapsed="false">
      <c r="A670" s="19" t="s">
        <v>3533</v>
      </c>
      <c r="B670" s="19" t="s">
        <v>388</v>
      </c>
      <c r="C670" s="19" t="str">
        <f aca="false">IFERROR(INDEX('Agent Roster'!$B:$B,MATCH(B670,'Agent Roster'!$A:$A,0)),"UNASSIGNED")</f>
        <v>Strategy Hub Lead</v>
      </c>
      <c r="D670" s="19" t="str">
        <f aca="false">IFERROR(INDEX('Agent Roster'!$D:$D,MATCH(B670,'Agent Roster'!$A:$A,0)),"UNASSIGNED")</f>
        <v>1 · Strategy Hub</v>
      </c>
      <c r="E670" s="19" t="s">
        <v>3534</v>
      </c>
      <c r="F670" s="19" t="s">
        <v>3535</v>
      </c>
      <c r="G670" s="19" t="s">
        <v>3513</v>
      </c>
      <c r="H670" s="19" t="s">
        <v>3536</v>
      </c>
      <c r="I670" s="19" t="s">
        <v>3537</v>
      </c>
      <c r="J670" s="19" t="s">
        <v>1139</v>
      </c>
      <c r="K670" s="19" t="s">
        <v>3538</v>
      </c>
      <c r="L670" s="19" t="s">
        <v>3539</v>
      </c>
      <c r="M670" s="19" t="s">
        <v>187</v>
      </c>
      <c r="N670" s="19" t="s">
        <v>3540</v>
      </c>
      <c r="O670" s="19" t="s">
        <v>3517</v>
      </c>
    </row>
    <row r="671" customFormat="false" ht="22.35" hidden="false" customHeight="false" outlineLevel="0" collapsed="false">
      <c r="A671" s="19" t="s">
        <v>3541</v>
      </c>
      <c r="B671" s="19" t="s">
        <v>485</v>
      </c>
      <c r="C671" s="19" t="str">
        <f aca="false">IFERROR(INDEX('Agent Roster'!$B:$B,MATCH(B671,'Agent Roster'!$A:$A,0)),"UNASSIGNED")</f>
        <v>Outbound Lead Generation Agent (Yang)</v>
      </c>
      <c r="D671" s="19" t="str">
        <f aca="false">IFERROR(INDEX('Agent Roster'!$D:$D,MATCH(B671,'Agent Roster'!$A:$A,0)),"UNASSIGNED")</f>
        <v>2 · Marketing Hub</v>
      </c>
      <c r="E671" s="19" t="s">
        <v>3542</v>
      </c>
      <c r="F671" s="19" t="s">
        <v>3543</v>
      </c>
      <c r="G671" s="19" t="s">
        <v>3513</v>
      </c>
      <c r="H671" s="19" t="s">
        <v>3514</v>
      </c>
      <c r="I671" s="19" t="s">
        <v>3544</v>
      </c>
      <c r="J671" s="19" t="s">
        <v>1068</v>
      </c>
      <c r="K671" s="19" t="s">
        <v>51</v>
      </c>
      <c r="L671" s="19" t="s">
        <v>3516</v>
      </c>
      <c r="M671" s="19" t="s">
        <v>476</v>
      </c>
      <c r="N671" s="19"/>
      <c r="O671" s="19" t="s">
        <v>3517</v>
      </c>
    </row>
    <row r="672" customFormat="false" ht="22.35" hidden="false" customHeight="false" outlineLevel="0" collapsed="false">
      <c r="A672" s="19" t="s">
        <v>3545</v>
      </c>
      <c r="B672" s="19" t="s">
        <v>498</v>
      </c>
      <c r="C672" s="19" t="str">
        <f aca="false">IFERROR(INDEX('Agent Roster'!$B:$B,MATCH(B672,'Agent Roster'!$A:$A,0)),"UNASSIGNED")</f>
        <v>Inbound Traffic &amp; Funnel Agent (Yin)</v>
      </c>
      <c r="D672" s="19" t="str">
        <f aca="false">IFERROR(INDEX('Agent Roster'!$D:$D,MATCH(B672,'Agent Roster'!$A:$A,0)),"UNASSIGNED")</f>
        <v>2 · Marketing Hub</v>
      </c>
      <c r="E672" s="19" t="s">
        <v>3546</v>
      </c>
      <c r="F672" s="19" t="s">
        <v>3547</v>
      </c>
      <c r="G672" s="19" t="s">
        <v>3513</v>
      </c>
      <c r="H672" s="19" t="s">
        <v>3514</v>
      </c>
      <c r="I672" s="19" t="s">
        <v>3544</v>
      </c>
      <c r="J672" s="19" t="s">
        <v>1068</v>
      </c>
      <c r="K672" s="19" t="s">
        <v>51</v>
      </c>
      <c r="L672" s="19" t="s">
        <v>3516</v>
      </c>
      <c r="M672" s="19" t="s">
        <v>476</v>
      </c>
      <c r="N672" s="19"/>
      <c r="O672" s="19" t="s">
        <v>3517</v>
      </c>
    </row>
    <row r="673" customFormat="false" ht="22.35" hidden="false" customHeight="false" outlineLevel="0" collapsed="false">
      <c r="A673" s="19" t="s">
        <v>3548</v>
      </c>
      <c r="B673" s="19" t="s">
        <v>510</v>
      </c>
      <c r="C673" s="19" t="str">
        <f aca="false">IFERROR(INDEX('Agent Roster'!$B:$B,MATCH(B673,'Agent Roster'!$A:$A,0)),"UNASSIGNED")</f>
        <v>Lead Capture, Tagging &amp; Channel ROI Agent</v>
      </c>
      <c r="D673" s="19" t="str">
        <f aca="false">IFERROR(INDEX('Agent Roster'!$D:$D,MATCH(B673,'Agent Roster'!$A:$A,0)),"UNASSIGNED")</f>
        <v>2 · Marketing Hub</v>
      </c>
      <c r="E673" s="19" t="s">
        <v>3549</v>
      </c>
      <c r="F673" s="19" t="s">
        <v>3550</v>
      </c>
      <c r="G673" s="19" t="s">
        <v>3513</v>
      </c>
      <c r="H673" s="19" t="s">
        <v>3514</v>
      </c>
      <c r="I673" s="19" t="s">
        <v>3544</v>
      </c>
      <c r="J673" s="19" t="s">
        <v>1068</v>
      </c>
      <c r="K673" s="19" t="s">
        <v>51</v>
      </c>
      <c r="L673" s="19" t="s">
        <v>3516</v>
      </c>
      <c r="M673" s="19" t="s">
        <v>476</v>
      </c>
      <c r="N673" s="19"/>
      <c r="O673" s="19" t="s">
        <v>3517</v>
      </c>
    </row>
    <row r="674" customFormat="false" ht="22.35" hidden="false" customHeight="false" outlineLevel="0" collapsed="false">
      <c r="A674" s="19" t="s">
        <v>3551</v>
      </c>
      <c r="B674" s="19" t="s">
        <v>522</v>
      </c>
      <c r="C674" s="19" t="str">
        <f aca="false">IFERROR(INDEX('Agent Roster'!$B:$B,MATCH(B674,'Agent Roster'!$A:$A,0)),"UNASSIGNED")</f>
        <v>Brand Awareness Agent</v>
      </c>
      <c r="D674" s="19" t="str">
        <f aca="false">IFERROR(INDEX('Agent Roster'!$D:$D,MATCH(B674,'Agent Roster'!$A:$A,0)),"UNASSIGNED")</f>
        <v>2 · Marketing Hub</v>
      </c>
      <c r="E674" s="19" t="s">
        <v>3552</v>
      </c>
      <c r="F674" s="19" t="s">
        <v>3553</v>
      </c>
      <c r="G674" s="19" t="s">
        <v>3513</v>
      </c>
      <c r="H674" s="19" t="s">
        <v>3514</v>
      </c>
      <c r="I674" s="19" t="s">
        <v>3544</v>
      </c>
      <c r="J674" s="19" t="s">
        <v>1068</v>
      </c>
      <c r="K674" s="19" t="s">
        <v>51</v>
      </c>
      <c r="L674" s="19" t="s">
        <v>3516</v>
      </c>
      <c r="M674" s="19" t="s">
        <v>476</v>
      </c>
      <c r="N674" s="19"/>
      <c r="O674" s="19" t="s">
        <v>3517</v>
      </c>
    </row>
    <row r="675" customFormat="false" ht="22.35" hidden="false" customHeight="false" outlineLevel="0" collapsed="false">
      <c r="A675" s="19" t="s">
        <v>3554</v>
      </c>
      <c r="B675" s="19" t="s">
        <v>534</v>
      </c>
      <c r="C675" s="19" t="str">
        <f aca="false">IFERROR(INDEX('Agent Roster'!$B:$B,MATCH(B675,'Agent Roster'!$A:$A,0)),"UNASSIGNED")</f>
        <v>Content Distribution Agent</v>
      </c>
      <c r="D675" s="19" t="str">
        <f aca="false">IFERROR(INDEX('Agent Roster'!$D:$D,MATCH(B675,'Agent Roster'!$A:$A,0)),"UNASSIGNED")</f>
        <v>2 · Marketing Hub</v>
      </c>
      <c r="E675" s="19" t="s">
        <v>3555</v>
      </c>
      <c r="F675" s="19" t="s">
        <v>3556</v>
      </c>
      <c r="G675" s="19" t="s">
        <v>3513</v>
      </c>
      <c r="H675" s="19" t="s">
        <v>3514</v>
      </c>
      <c r="I675" s="19" t="s">
        <v>3544</v>
      </c>
      <c r="J675" s="19" t="s">
        <v>1068</v>
      </c>
      <c r="K675" s="19" t="s">
        <v>51</v>
      </c>
      <c r="L675" s="19" t="s">
        <v>3516</v>
      </c>
      <c r="M675" s="19" t="s">
        <v>476</v>
      </c>
      <c r="N675" s="19"/>
      <c r="O675" s="19" t="s">
        <v>3517</v>
      </c>
    </row>
    <row r="676" customFormat="false" ht="22.35" hidden="false" customHeight="false" outlineLevel="0" collapsed="false">
      <c r="A676" s="19" t="s">
        <v>3557</v>
      </c>
      <c r="B676" s="19" t="s">
        <v>476</v>
      </c>
      <c r="C676" s="19" t="str">
        <f aca="false">IFERROR(INDEX('Agent Roster'!$B:$B,MATCH(B676,'Agent Roster'!$A:$A,0)),"UNASSIGNED")</f>
        <v>Marketing Hub Lead (ACE Acquisition owner)</v>
      </c>
      <c r="D676" s="19" t="str">
        <f aca="false">IFERROR(INDEX('Agent Roster'!$D:$D,MATCH(B676,'Agent Roster'!$A:$A,0)),"UNASSIGNED")</f>
        <v>2 · Marketing Hub</v>
      </c>
      <c r="E676" s="19" t="s">
        <v>3558</v>
      </c>
      <c r="F676" s="19" t="s">
        <v>3559</v>
      </c>
      <c r="G676" s="19" t="s">
        <v>3513</v>
      </c>
      <c r="H676" s="19" t="s">
        <v>3536</v>
      </c>
      <c r="I676" s="19" t="s">
        <v>3537</v>
      </c>
      <c r="J676" s="19" t="s">
        <v>1139</v>
      </c>
      <c r="K676" s="19" t="s">
        <v>3538</v>
      </c>
      <c r="L676" s="19" t="s">
        <v>3539</v>
      </c>
      <c r="M676" s="19" t="s">
        <v>187</v>
      </c>
      <c r="N676" s="19" t="s">
        <v>3540</v>
      </c>
      <c r="O676" s="19" t="s">
        <v>3517</v>
      </c>
    </row>
    <row r="677" customFormat="false" ht="22.35" hidden="false" customHeight="false" outlineLevel="0" collapsed="false">
      <c r="A677" s="19" t="s">
        <v>3560</v>
      </c>
      <c r="B677" s="19" t="s">
        <v>630</v>
      </c>
      <c r="C677" s="19" t="str">
        <f aca="false">IFERROR(INDEX('Agent Roster'!$B:$B,MATCH(B677,'Agent Roster'!$A:$A,0)),"UNASSIGNED")</f>
        <v>Offer Architect</v>
      </c>
      <c r="D677" s="19" t="str">
        <f aca="false">IFERROR(INDEX('Agent Roster'!$D:$D,MATCH(B677,'Agent Roster'!$A:$A,0)),"UNASSIGNED")</f>
        <v>3 · Sales Hub</v>
      </c>
      <c r="E677" s="19" t="s">
        <v>3561</v>
      </c>
      <c r="F677" s="19" t="s">
        <v>3562</v>
      </c>
      <c r="G677" s="19" t="s">
        <v>3513</v>
      </c>
      <c r="H677" s="19" t="s">
        <v>3514</v>
      </c>
      <c r="I677" s="19" t="s">
        <v>3563</v>
      </c>
      <c r="J677" s="19" t="s">
        <v>1068</v>
      </c>
      <c r="K677" s="19" t="s">
        <v>51</v>
      </c>
      <c r="L677" s="19" t="s">
        <v>3516</v>
      </c>
      <c r="M677" s="19" t="s">
        <v>557</v>
      </c>
      <c r="N677" s="19"/>
      <c r="O677" s="19" t="s">
        <v>3517</v>
      </c>
    </row>
    <row r="678" customFormat="false" ht="22.35" hidden="false" customHeight="false" outlineLevel="0" collapsed="false">
      <c r="A678" s="19" t="s">
        <v>3564</v>
      </c>
      <c r="B678" s="19" t="s">
        <v>587</v>
      </c>
      <c r="C678" s="19" t="str">
        <f aca="false">IFERROR(INDEX('Agent Roster'!$B:$B,MATCH(B678,'Agent Roster'!$A:$A,0)),"UNASSIGNED")</f>
        <v>Pipeline Manager Agent</v>
      </c>
      <c r="D678" s="19" t="str">
        <f aca="false">IFERROR(INDEX('Agent Roster'!$D:$D,MATCH(B678,'Agent Roster'!$A:$A,0)),"UNASSIGNED")</f>
        <v>3 · Sales Hub</v>
      </c>
      <c r="E678" s="19" t="s">
        <v>3565</v>
      </c>
      <c r="F678" s="19" t="s">
        <v>3566</v>
      </c>
      <c r="G678" s="19" t="s">
        <v>3513</v>
      </c>
      <c r="H678" s="19" t="s">
        <v>3514</v>
      </c>
      <c r="I678" s="19" t="s">
        <v>3563</v>
      </c>
      <c r="J678" s="19" t="s">
        <v>1068</v>
      </c>
      <c r="K678" s="19" t="s">
        <v>51</v>
      </c>
      <c r="L678" s="19" t="s">
        <v>3516</v>
      </c>
      <c r="M678" s="19" t="s">
        <v>557</v>
      </c>
      <c r="N678" s="19"/>
      <c r="O678" s="19" t="s">
        <v>3517</v>
      </c>
    </row>
    <row r="679" customFormat="false" ht="22.35" hidden="false" customHeight="false" outlineLevel="0" collapsed="false">
      <c r="A679" s="19" t="s">
        <v>3567</v>
      </c>
      <c r="B679" s="19" t="s">
        <v>603</v>
      </c>
      <c r="C679" s="19" t="str">
        <f aca="false">IFERROR(INDEX('Agent Roster'!$B:$B,MATCH(B679,'Agent Roster'!$A:$A,0)),"UNASSIGNED")</f>
        <v>Sales Call Copilot (7-Step Script)</v>
      </c>
      <c r="D679" s="19" t="str">
        <f aca="false">IFERROR(INDEX('Agent Roster'!$D:$D,MATCH(B679,'Agent Roster'!$A:$A,0)),"UNASSIGNED")</f>
        <v>3 · Sales Hub</v>
      </c>
      <c r="E679" s="19" t="s">
        <v>3568</v>
      </c>
      <c r="F679" s="19" t="s">
        <v>3569</v>
      </c>
      <c r="G679" s="19" t="s">
        <v>3513</v>
      </c>
      <c r="H679" s="19" t="s">
        <v>3514</v>
      </c>
      <c r="I679" s="19" t="s">
        <v>3563</v>
      </c>
      <c r="J679" s="19" t="s">
        <v>1068</v>
      </c>
      <c r="K679" s="19" t="s">
        <v>51</v>
      </c>
      <c r="L679" s="19" t="s">
        <v>3516</v>
      </c>
      <c r="M679" s="19" t="s">
        <v>557</v>
      </c>
      <c r="N679" s="19"/>
      <c r="O679" s="19" t="s">
        <v>3517</v>
      </c>
    </row>
    <row r="680" customFormat="false" ht="22.35" hidden="false" customHeight="false" outlineLevel="0" collapsed="false">
      <c r="A680" s="19" t="s">
        <v>3570</v>
      </c>
      <c r="B680" s="19" t="s">
        <v>557</v>
      </c>
      <c r="C680" s="19" t="str">
        <f aca="false">IFERROR(INDEX('Agent Roster'!$B:$B,MATCH(B680,'Agent Roster'!$A:$A,0)),"UNASSIGNED")</f>
        <v>Sales Hub Lead (ACE Creation owner)</v>
      </c>
      <c r="D680" s="19" t="str">
        <f aca="false">IFERROR(INDEX('Agent Roster'!$D:$D,MATCH(B680,'Agent Roster'!$A:$A,0)),"UNASSIGNED")</f>
        <v>3 · Sales Hub</v>
      </c>
      <c r="E680" s="19" t="s">
        <v>3571</v>
      </c>
      <c r="F680" s="19" t="s">
        <v>3572</v>
      </c>
      <c r="G680" s="19" t="s">
        <v>3513</v>
      </c>
      <c r="H680" s="19" t="s">
        <v>3514</v>
      </c>
      <c r="I680" s="19" t="s">
        <v>3563</v>
      </c>
      <c r="J680" s="19" t="s">
        <v>1068</v>
      </c>
      <c r="K680" s="19" t="s">
        <v>51</v>
      </c>
      <c r="L680" s="19" t="s">
        <v>3516</v>
      </c>
      <c r="M680" s="19" t="s">
        <v>557</v>
      </c>
      <c r="N680" s="19"/>
      <c r="O680" s="19" t="s">
        <v>3517</v>
      </c>
    </row>
    <row r="681" customFormat="false" ht="22.35" hidden="false" customHeight="false" outlineLevel="0" collapsed="false">
      <c r="A681" s="19" t="s">
        <v>3573</v>
      </c>
      <c r="B681" s="19" t="s">
        <v>557</v>
      </c>
      <c r="C681" s="19" t="str">
        <f aca="false">IFERROR(INDEX('Agent Roster'!$B:$B,MATCH(B681,'Agent Roster'!$A:$A,0)),"UNASSIGNED")</f>
        <v>Sales Hub Lead (ACE Creation owner)</v>
      </c>
      <c r="D681" s="19" t="str">
        <f aca="false">IFERROR(INDEX('Agent Roster'!$D:$D,MATCH(B681,'Agent Roster'!$A:$A,0)),"UNASSIGNED")</f>
        <v>3 · Sales Hub</v>
      </c>
      <c r="E681" s="19" t="s">
        <v>3574</v>
      </c>
      <c r="F681" s="19" t="s">
        <v>3575</v>
      </c>
      <c r="G681" s="19" t="s">
        <v>3513</v>
      </c>
      <c r="H681" s="19" t="s">
        <v>3514</v>
      </c>
      <c r="I681" s="19" t="s">
        <v>3563</v>
      </c>
      <c r="J681" s="19" t="s">
        <v>1068</v>
      </c>
      <c r="K681" s="19" t="s">
        <v>51</v>
      </c>
      <c r="L681" s="19" t="s">
        <v>3516</v>
      </c>
      <c r="M681" s="19" t="s">
        <v>557</v>
      </c>
      <c r="N681" s="19"/>
      <c r="O681" s="19" t="s">
        <v>3517</v>
      </c>
    </row>
    <row r="682" customFormat="false" ht="22.35" hidden="false" customHeight="false" outlineLevel="0" collapsed="false">
      <c r="A682" s="19" t="s">
        <v>3576</v>
      </c>
      <c r="B682" s="19" t="s">
        <v>557</v>
      </c>
      <c r="C682" s="19" t="str">
        <f aca="false">IFERROR(INDEX('Agent Roster'!$B:$B,MATCH(B682,'Agent Roster'!$A:$A,0)),"UNASSIGNED")</f>
        <v>Sales Hub Lead (ACE Creation owner)</v>
      </c>
      <c r="D682" s="19" t="str">
        <f aca="false">IFERROR(INDEX('Agent Roster'!$D:$D,MATCH(B682,'Agent Roster'!$A:$A,0)),"UNASSIGNED")</f>
        <v>3 · Sales Hub</v>
      </c>
      <c r="E682" s="19" t="s">
        <v>3577</v>
      </c>
      <c r="F682" s="19" t="s">
        <v>3578</v>
      </c>
      <c r="G682" s="19" t="s">
        <v>3513</v>
      </c>
      <c r="H682" s="19" t="s">
        <v>3536</v>
      </c>
      <c r="I682" s="19" t="s">
        <v>3537</v>
      </c>
      <c r="J682" s="19" t="s">
        <v>1139</v>
      </c>
      <c r="K682" s="19" t="s">
        <v>3538</v>
      </c>
      <c r="L682" s="19" t="s">
        <v>3539</v>
      </c>
      <c r="M682" s="19" t="s">
        <v>187</v>
      </c>
      <c r="N682" s="19" t="s">
        <v>3540</v>
      </c>
      <c r="O682" s="19" t="s">
        <v>3517</v>
      </c>
    </row>
    <row r="683" customFormat="false" ht="22.35" hidden="false" customHeight="false" outlineLevel="0" collapsed="false">
      <c r="A683" s="19" t="s">
        <v>3579</v>
      </c>
      <c r="B683" s="19" t="s">
        <v>705</v>
      </c>
      <c r="C683" s="19" t="str">
        <f aca="false">IFERROR(INDEX('Agent Roster'!$B:$B,MATCH(B683,'Agent Roster'!$A:$A,0)),"UNASSIGNED")</f>
        <v>Fulfillment &amp; Delivery Agent</v>
      </c>
      <c r="D683" s="19" t="str">
        <f aca="false">IFERROR(INDEX('Agent Roster'!$D:$D,MATCH(B683,'Agent Roster'!$A:$A,0)),"UNASSIGNED")</f>
        <v>4 · Operations Hub</v>
      </c>
      <c r="E683" s="19" t="s">
        <v>3580</v>
      </c>
      <c r="F683" s="19" t="s">
        <v>3581</v>
      </c>
      <c r="G683" s="19" t="s">
        <v>3513</v>
      </c>
      <c r="H683" s="19" t="s">
        <v>3514</v>
      </c>
      <c r="I683" s="19" t="s">
        <v>715</v>
      </c>
      <c r="J683" s="19" t="s">
        <v>1068</v>
      </c>
      <c r="K683" s="19" t="s">
        <v>51</v>
      </c>
      <c r="L683" s="19" t="s">
        <v>3516</v>
      </c>
      <c r="M683" s="19" t="s">
        <v>696</v>
      </c>
      <c r="N683" s="19"/>
      <c r="O683" s="19" t="s">
        <v>3517</v>
      </c>
    </row>
    <row r="684" customFormat="false" ht="22.35" hidden="false" customHeight="false" outlineLevel="0" collapsed="false">
      <c r="A684" s="19" t="s">
        <v>3582</v>
      </c>
      <c r="B684" s="19" t="s">
        <v>705</v>
      </c>
      <c r="C684" s="19" t="str">
        <f aca="false">IFERROR(INDEX('Agent Roster'!$B:$B,MATCH(B684,'Agent Roster'!$A:$A,0)),"UNASSIGNED")</f>
        <v>Fulfillment &amp; Delivery Agent</v>
      </c>
      <c r="D684" s="19" t="str">
        <f aca="false">IFERROR(INDEX('Agent Roster'!$D:$D,MATCH(B684,'Agent Roster'!$A:$A,0)),"UNASSIGNED")</f>
        <v>4 · Operations Hub</v>
      </c>
      <c r="E684" s="19" t="s">
        <v>3583</v>
      </c>
      <c r="F684" s="19" t="s">
        <v>3584</v>
      </c>
      <c r="G684" s="19" t="s">
        <v>3513</v>
      </c>
      <c r="H684" s="19" t="s">
        <v>3514</v>
      </c>
      <c r="I684" s="19" t="s">
        <v>715</v>
      </c>
      <c r="J684" s="19" t="s">
        <v>1068</v>
      </c>
      <c r="K684" s="19" t="s">
        <v>51</v>
      </c>
      <c r="L684" s="19" t="s">
        <v>3516</v>
      </c>
      <c r="M684" s="19" t="s">
        <v>696</v>
      </c>
      <c r="N684" s="19"/>
      <c r="O684" s="19" t="s">
        <v>3517</v>
      </c>
    </row>
    <row r="685" customFormat="false" ht="22.35" hidden="false" customHeight="false" outlineLevel="0" collapsed="false">
      <c r="A685" s="19" t="s">
        <v>3585</v>
      </c>
      <c r="B685" s="19" t="s">
        <v>716</v>
      </c>
      <c r="C685" s="19" t="str">
        <f aca="false">IFERROR(INDEX('Agent Roster'!$B:$B,MATCH(B685,'Agent Roster'!$A:$A,0)),"UNASSIGNED")</f>
        <v>Quality Control Agent (Correctness pillar)</v>
      </c>
      <c r="D685" s="19" t="str">
        <f aca="false">IFERROR(INDEX('Agent Roster'!$D:$D,MATCH(B685,'Agent Roster'!$A:$A,0)),"UNASSIGNED")</f>
        <v>4 · Operations Hub</v>
      </c>
      <c r="E685" s="19" t="s">
        <v>3586</v>
      </c>
      <c r="F685" s="19" t="s">
        <v>3587</v>
      </c>
      <c r="G685" s="19" t="s">
        <v>3513</v>
      </c>
      <c r="H685" s="19" t="s">
        <v>3514</v>
      </c>
      <c r="I685" s="19" t="s">
        <v>715</v>
      </c>
      <c r="J685" s="19" t="s">
        <v>1068</v>
      </c>
      <c r="K685" s="19" t="s">
        <v>51</v>
      </c>
      <c r="L685" s="19" t="s">
        <v>3516</v>
      </c>
      <c r="M685" s="19" t="s">
        <v>696</v>
      </c>
      <c r="N685" s="19"/>
      <c r="O685" s="19" t="s">
        <v>3517</v>
      </c>
    </row>
    <row r="686" customFormat="false" ht="22.35" hidden="false" customHeight="false" outlineLevel="0" collapsed="false">
      <c r="A686" s="19" t="s">
        <v>3588</v>
      </c>
      <c r="B686" s="19" t="s">
        <v>728</v>
      </c>
      <c r="C686" s="19" t="str">
        <f aca="false">IFERROR(INDEX('Agent Roster'!$B:$B,MATCH(B686,'Agent Roster'!$A:$A,0)),"UNASSIGNED")</f>
        <v>Project Manager Agent</v>
      </c>
      <c r="D686" s="19" t="str">
        <f aca="false">IFERROR(INDEX('Agent Roster'!$D:$D,MATCH(B686,'Agent Roster'!$A:$A,0)),"UNASSIGNED")</f>
        <v>4 · Operations Hub</v>
      </c>
      <c r="E686" s="19" t="s">
        <v>3589</v>
      </c>
      <c r="F686" s="19" t="s">
        <v>3590</v>
      </c>
      <c r="G686" s="19" t="s">
        <v>3513</v>
      </c>
      <c r="H686" s="19" t="s">
        <v>3514</v>
      </c>
      <c r="I686" s="19" t="s">
        <v>715</v>
      </c>
      <c r="J686" s="19" t="s">
        <v>1068</v>
      </c>
      <c r="K686" s="19" t="s">
        <v>51</v>
      </c>
      <c r="L686" s="19" t="s">
        <v>3516</v>
      </c>
      <c r="M686" s="19" t="s">
        <v>696</v>
      </c>
      <c r="N686" s="19"/>
      <c r="O686" s="19" t="s">
        <v>3517</v>
      </c>
    </row>
    <row r="687" customFormat="false" ht="22.35" hidden="false" customHeight="false" outlineLevel="0" collapsed="false">
      <c r="A687" s="19" t="s">
        <v>3591</v>
      </c>
      <c r="B687" s="19" t="s">
        <v>696</v>
      </c>
      <c r="C687" s="19" t="str">
        <f aca="false">IFERROR(INDEX('Agent Roster'!$B:$B,MATCH(B687,'Agent Roster'!$A:$A,0)),"UNASSIGNED")</f>
        <v>Operations Hub Lead</v>
      </c>
      <c r="D687" s="19" t="str">
        <f aca="false">IFERROR(INDEX('Agent Roster'!$D:$D,MATCH(B687,'Agent Roster'!$A:$A,0)),"UNASSIGNED")</f>
        <v>4 · Operations Hub</v>
      </c>
      <c r="E687" s="19" t="s">
        <v>3592</v>
      </c>
      <c r="F687" s="19" t="s">
        <v>3593</v>
      </c>
      <c r="G687" s="19" t="s">
        <v>3513</v>
      </c>
      <c r="H687" s="19" t="s">
        <v>3536</v>
      </c>
      <c r="I687" s="19" t="s">
        <v>3537</v>
      </c>
      <c r="J687" s="19" t="s">
        <v>1139</v>
      </c>
      <c r="K687" s="19" t="s">
        <v>3538</v>
      </c>
      <c r="L687" s="19" t="s">
        <v>3539</v>
      </c>
      <c r="M687" s="19" t="s">
        <v>187</v>
      </c>
      <c r="N687" s="19" t="s">
        <v>3540</v>
      </c>
      <c r="O687" s="19" t="s">
        <v>3517</v>
      </c>
    </row>
    <row r="688" customFormat="false" ht="22.35" hidden="false" customHeight="false" outlineLevel="0" collapsed="false">
      <c r="A688" s="19" t="s">
        <v>3594</v>
      </c>
      <c r="B688" s="19" t="s">
        <v>773</v>
      </c>
      <c r="C688" s="19" t="str">
        <f aca="false">IFERROR(INDEX('Agent Roster'!$B:$B,MATCH(B688,'Agent Roster'!$A:$A,0)),"UNASSIGNED")</f>
        <v>Capital Manager</v>
      </c>
      <c r="D688" s="19" t="str">
        <f aca="false">IFERROR(INDEX('Agent Roster'!$D:$D,MATCH(B688,'Agent Roster'!$A:$A,0)),"UNASSIGNED")</f>
        <v>5 · Finance Hub</v>
      </c>
      <c r="E688" s="19" t="s">
        <v>3595</v>
      </c>
      <c r="F688" s="19" t="s">
        <v>3596</v>
      </c>
      <c r="G688" s="19" t="s">
        <v>3513</v>
      </c>
      <c r="H688" s="19" t="s">
        <v>3514</v>
      </c>
      <c r="I688" s="19" t="s">
        <v>796</v>
      </c>
      <c r="J688" s="19" t="s">
        <v>1068</v>
      </c>
      <c r="K688" s="19" t="s">
        <v>51</v>
      </c>
      <c r="L688" s="19" t="s">
        <v>3516</v>
      </c>
      <c r="M688" s="19" t="s">
        <v>764</v>
      </c>
      <c r="N688" s="19"/>
      <c r="O688" s="19" t="s">
        <v>3517</v>
      </c>
    </row>
    <row r="689" customFormat="false" ht="22.35" hidden="false" customHeight="false" outlineLevel="0" collapsed="false">
      <c r="A689" s="19" t="s">
        <v>3597</v>
      </c>
      <c r="B689" s="19" t="s">
        <v>785</v>
      </c>
      <c r="C689" s="19" t="str">
        <f aca="false">IFERROR(INDEX('Agent Roster'!$B:$B,MATCH(B689,'Agent Roster'!$A:$A,0)),"UNASSIGNED")</f>
        <v>Budgeting Agent</v>
      </c>
      <c r="D689" s="19" t="str">
        <f aca="false">IFERROR(INDEX('Agent Roster'!$D:$D,MATCH(B689,'Agent Roster'!$A:$A,0)),"UNASSIGNED")</f>
        <v>5 · Finance Hub</v>
      </c>
      <c r="E689" s="19" t="s">
        <v>3598</v>
      </c>
      <c r="F689" s="19" t="s">
        <v>3599</v>
      </c>
      <c r="G689" s="19" t="s">
        <v>3513</v>
      </c>
      <c r="H689" s="19" t="s">
        <v>3514</v>
      </c>
      <c r="I689" s="19" t="s">
        <v>796</v>
      </c>
      <c r="J689" s="19" t="s">
        <v>1068</v>
      </c>
      <c r="K689" s="19" t="s">
        <v>51</v>
      </c>
      <c r="L689" s="19" t="s">
        <v>3516</v>
      </c>
      <c r="M689" s="19" t="s">
        <v>764</v>
      </c>
      <c r="N689" s="19"/>
      <c r="O689" s="19" t="s">
        <v>3517</v>
      </c>
    </row>
    <row r="690" customFormat="false" ht="22.35" hidden="false" customHeight="false" outlineLevel="0" collapsed="false">
      <c r="A690" s="19" t="s">
        <v>3600</v>
      </c>
      <c r="B690" s="19" t="s">
        <v>797</v>
      </c>
      <c r="C690" s="19" t="str">
        <f aca="false">IFERROR(INDEX('Agent Roster'!$B:$B,MATCH(B690,'Agent Roster'!$A:$A,0)),"UNASSIGNED")</f>
        <v>Forecasting Agent</v>
      </c>
      <c r="D690" s="19" t="str">
        <f aca="false">IFERROR(INDEX('Agent Roster'!$D:$D,MATCH(B690,'Agent Roster'!$A:$A,0)),"UNASSIGNED")</f>
        <v>5 · Finance Hub</v>
      </c>
      <c r="E690" s="19" t="s">
        <v>3601</v>
      </c>
      <c r="F690" s="19" t="s">
        <v>3602</v>
      </c>
      <c r="G690" s="19" t="s">
        <v>3513</v>
      </c>
      <c r="H690" s="19" t="s">
        <v>3514</v>
      </c>
      <c r="I690" s="19" t="s">
        <v>796</v>
      </c>
      <c r="J690" s="19" t="s">
        <v>1068</v>
      </c>
      <c r="K690" s="19" t="s">
        <v>51</v>
      </c>
      <c r="L690" s="19" t="s">
        <v>3516</v>
      </c>
      <c r="M690" s="19" t="s">
        <v>764</v>
      </c>
      <c r="N690" s="19"/>
      <c r="O690" s="19" t="s">
        <v>3517</v>
      </c>
    </row>
    <row r="691" customFormat="false" ht="22.35" hidden="false" customHeight="false" outlineLevel="0" collapsed="false">
      <c r="A691" s="19" t="s">
        <v>3603</v>
      </c>
      <c r="B691" s="19" t="s">
        <v>807</v>
      </c>
      <c r="C691" s="19" t="str">
        <f aca="false">IFERROR(INDEX('Agent Roster'!$B:$B,MATCH(B691,'Agent Roster'!$A:$A,0)),"UNASSIGNED")</f>
        <v>Financial Reporting Agent</v>
      </c>
      <c r="D691" s="19" t="str">
        <f aca="false">IFERROR(INDEX('Agent Roster'!$D:$D,MATCH(B691,'Agent Roster'!$A:$A,0)),"UNASSIGNED")</f>
        <v>5 · Finance Hub</v>
      </c>
      <c r="E691" s="19" t="s">
        <v>3604</v>
      </c>
      <c r="F691" s="19" t="s">
        <v>3605</v>
      </c>
      <c r="G691" s="19" t="s">
        <v>3513</v>
      </c>
      <c r="H691" s="19" t="s">
        <v>3514</v>
      </c>
      <c r="I691" s="19" t="s">
        <v>796</v>
      </c>
      <c r="J691" s="19" t="s">
        <v>1068</v>
      </c>
      <c r="K691" s="19" t="s">
        <v>51</v>
      </c>
      <c r="L691" s="19" t="s">
        <v>3516</v>
      </c>
      <c r="M691" s="19" t="s">
        <v>764</v>
      </c>
      <c r="N691" s="19"/>
      <c r="O691" s="19" t="s">
        <v>3517</v>
      </c>
    </row>
    <row r="692" customFormat="false" ht="22.35" hidden="false" customHeight="false" outlineLevel="0" collapsed="false">
      <c r="A692" s="19" t="s">
        <v>3606</v>
      </c>
      <c r="B692" s="19" t="s">
        <v>817</v>
      </c>
      <c r="C692" s="19" t="str">
        <f aca="false">IFERROR(INDEX('Agent Roster'!$B:$B,MATCH(B692,'Agent Roster'!$A:$A,0)),"UNASSIGNED")</f>
        <v>Commission Agent</v>
      </c>
      <c r="D692" s="19" t="str">
        <f aca="false">IFERROR(INDEX('Agent Roster'!$D:$D,MATCH(B692,'Agent Roster'!$A:$A,0)),"UNASSIGNED")</f>
        <v>5 · Finance Hub</v>
      </c>
      <c r="E692" s="19" t="s">
        <v>3607</v>
      </c>
      <c r="F692" s="19" t="s">
        <v>3608</v>
      </c>
      <c r="G692" s="19" t="s">
        <v>3513</v>
      </c>
      <c r="H692" s="19" t="s">
        <v>3514</v>
      </c>
      <c r="I692" s="19" t="s">
        <v>796</v>
      </c>
      <c r="J692" s="19" t="s">
        <v>1068</v>
      </c>
      <c r="K692" s="19" t="s">
        <v>51</v>
      </c>
      <c r="L692" s="19" t="s">
        <v>3516</v>
      </c>
      <c r="M692" s="19" t="s">
        <v>764</v>
      </c>
      <c r="N692" s="19"/>
      <c r="O692" s="19" t="s">
        <v>3517</v>
      </c>
    </row>
    <row r="693" customFormat="false" ht="22.35" hidden="false" customHeight="false" outlineLevel="0" collapsed="false">
      <c r="A693" s="19" t="s">
        <v>3609</v>
      </c>
      <c r="B693" s="19" t="s">
        <v>828</v>
      </c>
      <c r="C693" s="19" t="str">
        <f aca="false">IFERROR(INDEX('Agent Roster'!$B:$B,MATCH(B693,'Agent Roster'!$A:$A,0)),"UNASSIGNED")</f>
        <v>Pricing Agent</v>
      </c>
      <c r="D693" s="19" t="str">
        <f aca="false">IFERROR(INDEX('Agent Roster'!$D:$D,MATCH(B693,'Agent Roster'!$A:$A,0)),"UNASSIGNED")</f>
        <v>5 · Finance Hub</v>
      </c>
      <c r="E693" s="19" t="s">
        <v>3610</v>
      </c>
      <c r="F693" s="19" t="s">
        <v>3611</v>
      </c>
      <c r="G693" s="19" t="s">
        <v>3513</v>
      </c>
      <c r="H693" s="19" t="s">
        <v>3514</v>
      </c>
      <c r="I693" s="19" t="s">
        <v>796</v>
      </c>
      <c r="J693" s="19" t="s">
        <v>1068</v>
      </c>
      <c r="K693" s="19" t="s">
        <v>51</v>
      </c>
      <c r="L693" s="19" t="s">
        <v>3516</v>
      </c>
      <c r="M693" s="19" t="s">
        <v>764</v>
      </c>
      <c r="N693" s="19"/>
      <c r="O693" s="19" t="s">
        <v>3517</v>
      </c>
    </row>
    <row r="694" customFormat="false" ht="22.35" hidden="false" customHeight="false" outlineLevel="0" collapsed="false">
      <c r="A694" s="19" t="s">
        <v>3612</v>
      </c>
      <c r="B694" s="19" t="s">
        <v>764</v>
      </c>
      <c r="C694" s="19" t="str">
        <f aca="false">IFERROR(INDEX('Agent Roster'!$B:$B,MATCH(B694,'Agent Roster'!$A:$A,0)),"UNASSIGNED")</f>
        <v>Finance Hub Lead</v>
      </c>
      <c r="D694" s="19" t="str">
        <f aca="false">IFERROR(INDEX('Agent Roster'!$D:$D,MATCH(B694,'Agent Roster'!$A:$A,0)),"UNASSIGNED")</f>
        <v>5 · Finance Hub</v>
      </c>
      <c r="E694" s="19" t="s">
        <v>3613</v>
      </c>
      <c r="F694" s="19" t="s">
        <v>3614</v>
      </c>
      <c r="G694" s="19" t="s">
        <v>3513</v>
      </c>
      <c r="H694" s="19" t="s">
        <v>3536</v>
      </c>
      <c r="I694" s="19" t="s">
        <v>3537</v>
      </c>
      <c r="J694" s="19" t="s">
        <v>1139</v>
      </c>
      <c r="K694" s="19" t="s">
        <v>3538</v>
      </c>
      <c r="L694" s="19" t="s">
        <v>3539</v>
      </c>
      <c r="M694" s="19" t="s">
        <v>187</v>
      </c>
      <c r="N694" s="19" t="s">
        <v>3540</v>
      </c>
      <c r="O694" s="19" t="s">
        <v>3517</v>
      </c>
    </row>
    <row r="695" customFormat="false" ht="22.35" hidden="false" customHeight="false" outlineLevel="0" collapsed="false">
      <c r="A695" s="19" t="s">
        <v>3615</v>
      </c>
      <c r="B695" s="19" t="s">
        <v>859</v>
      </c>
      <c r="C695" s="19" t="str">
        <f aca="false">IFERROR(INDEX('Agent Roster'!$B:$B,MATCH(B695,'Agent Roster'!$A:$A,0)),"UNASSIGNED")</f>
        <v>Recruiting Agent</v>
      </c>
      <c r="D695" s="19" t="str">
        <f aca="false">IFERROR(INDEX('Agent Roster'!$D:$D,MATCH(B695,'Agent Roster'!$A:$A,0)),"UNASSIGNED")</f>
        <v>6 · HR &amp; Culture Hub</v>
      </c>
      <c r="E695" s="19" t="s">
        <v>3616</v>
      </c>
      <c r="F695" s="19" t="s">
        <v>3617</v>
      </c>
      <c r="G695" s="19" t="s">
        <v>3513</v>
      </c>
      <c r="H695" s="19" t="s">
        <v>3514</v>
      </c>
      <c r="I695" s="19" t="s">
        <v>928</v>
      </c>
      <c r="J695" s="19" t="s">
        <v>1068</v>
      </c>
      <c r="K695" s="19" t="s">
        <v>51</v>
      </c>
      <c r="L695" s="19" t="s">
        <v>3516</v>
      </c>
      <c r="M695" s="19" t="s">
        <v>851</v>
      </c>
      <c r="N695" s="19"/>
      <c r="O695" s="19" t="s">
        <v>3517</v>
      </c>
    </row>
    <row r="696" customFormat="false" ht="22.35" hidden="false" customHeight="false" outlineLevel="0" collapsed="false">
      <c r="A696" s="19" t="s">
        <v>3618</v>
      </c>
      <c r="B696" s="19" t="s">
        <v>883</v>
      </c>
      <c r="C696" s="19" t="str">
        <f aca="false">IFERROR(INDEX('Agent Roster'!$B:$B,MATCH(B696,'Agent Roster'!$A:$A,0)),"UNASSIGNED")</f>
        <v>Employee Onboarding Agent (Immersion for hires)</v>
      </c>
      <c r="D696" s="19" t="str">
        <f aca="false">IFERROR(INDEX('Agent Roster'!$D:$D,MATCH(B696,'Agent Roster'!$A:$A,0)),"UNASSIGNED")</f>
        <v>6 · HR &amp; Culture Hub</v>
      </c>
      <c r="E696" s="19" t="s">
        <v>3619</v>
      </c>
      <c r="F696" s="19" t="s">
        <v>3620</v>
      </c>
      <c r="G696" s="19" t="s">
        <v>3513</v>
      </c>
      <c r="H696" s="19" t="s">
        <v>3514</v>
      </c>
      <c r="I696" s="19" t="s">
        <v>928</v>
      </c>
      <c r="J696" s="19" t="s">
        <v>1068</v>
      </c>
      <c r="K696" s="19" t="s">
        <v>51</v>
      </c>
      <c r="L696" s="19" t="s">
        <v>3516</v>
      </c>
      <c r="M696" s="19" t="s">
        <v>851</v>
      </c>
      <c r="N696" s="19"/>
      <c r="O696" s="19" t="s">
        <v>3517</v>
      </c>
    </row>
    <row r="697" customFormat="false" ht="22.35" hidden="false" customHeight="false" outlineLevel="0" collapsed="false">
      <c r="A697" s="19" t="s">
        <v>3621</v>
      </c>
      <c r="B697" s="19" t="s">
        <v>894</v>
      </c>
      <c r="C697" s="19" t="str">
        <f aca="false">IFERROR(INDEX('Agent Roster'!$B:$B,MATCH(B697,'Agent Roster'!$A:$A,0)),"UNASSIGNED")</f>
        <v>Performance Review Agent</v>
      </c>
      <c r="D697" s="19" t="str">
        <f aca="false">IFERROR(INDEX('Agent Roster'!$D:$D,MATCH(B697,'Agent Roster'!$A:$A,0)),"UNASSIGNED")</f>
        <v>6 · HR &amp; Culture Hub</v>
      </c>
      <c r="E697" s="19" t="s">
        <v>3622</v>
      </c>
      <c r="F697" s="19" t="s">
        <v>3623</v>
      </c>
      <c r="G697" s="19" t="s">
        <v>3513</v>
      </c>
      <c r="H697" s="19" t="s">
        <v>3514</v>
      </c>
      <c r="I697" s="19" t="s">
        <v>928</v>
      </c>
      <c r="J697" s="19" t="s">
        <v>1068</v>
      </c>
      <c r="K697" s="19" t="s">
        <v>51</v>
      </c>
      <c r="L697" s="19" t="s">
        <v>3516</v>
      </c>
      <c r="M697" s="19" t="s">
        <v>851</v>
      </c>
      <c r="N697" s="19"/>
      <c r="O697" s="19" t="s">
        <v>3517</v>
      </c>
    </row>
    <row r="698" customFormat="false" ht="22.35" hidden="false" customHeight="false" outlineLevel="0" collapsed="false">
      <c r="A698" s="19" t="s">
        <v>3624</v>
      </c>
      <c r="B698" s="19" t="s">
        <v>906</v>
      </c>
      <c r="C698" s="19" t="str">
        <f aca="false">IFERROR(INDEX('Agent Roster'!$B:$B,MATCH(B698,'Agent Roster'!$A:$A,0)),"UNASSIGNED")</f>
        <v>Culture &amp; Ritual Steward (Mode 5)</v>
      </c>
      <c r="D698" s="19" t="str">
        <f aca="false">IFERROR(INDEX('Agent Roster'!$D:$D,MATCH(B698,'Agent Roster'!$A:$A,0)),"UNASSIGNED")</f>
        <v>6 · HR &amp; Culture Hub</v>
      </c>
      <c r="E698" s="19" t="s">
        <v>3625</v>
      </c>
      <c r="F698" s="19" t="s">
        <v>3626</v>
      </c>
      <c r="G698" s="19" t="s">
        <v>3513</v>
      </c>
      <c r="H698" s="19" t="s">
        <v>3514</v>
      </c>
      <c r="I698" s="19" t="s">
        <v>928</v>
      </c>
      <c r="J698" s="19" t="s">
        <v>1068</v>
      </c>
      <c r="K698" s="19" t="s">
        <v>51</v>
      </c>
      <c r="L698" s="19" t="s">
        <v>3516</v>
      </c>
      <c r="M698" s="19" t="s">
        <v>851</v>
      </c>
      <c r="N698" s="19"/>
      <c r="O698" s="19" t="s">
        <v>3517</v>
      </c>
    </row>
    <row r="699" customFormat="false" ht="22.35" hidden="false" customHeight="false" outlineLevel="0" collapsed="false">
      <c r="A699" s="19" t="s">
        <v>3627</v>
      </c>
      <c r="B699" s="19" t="s">
        <v>871</v>
      </c>
      <c r="C699" s="19" t="str">
        <f aca="false">IFERROR(INDEX('Agent Roster'!$B:$B,MATCH(B699,'Agent Roster'!$A:$A,0)),"UNASSIGNED")</f>
        <v>Offer &amp; Compensation Agent</v>
      </c>
      <c r="D699" s="19" t="str">
        <f aca="false">IFERROR(INDEX('Agent Roster'!$D:$D,MATCH(B699,'Agent Roster'!$A:$A,0)),"UNASSIGNED")</f>
        <v>6 · HR &amp; Culture Hub</v>
      </c>
      <c r="E699" s="19" t="s">
        <v>3628</v>
      </c>
      <c r="F699" s="19" t="s">
        <v>3629</v>
      </c>
      <c r="G699" s="19" t="s">
        <v>3513</v>
      </c>
      <c r="H699" s="19" t="s">
        <v>3514</v>
      </c>
      <c r="I699" s="19" t="s">
        <v>928</v>
      </c>
      <c r="J699" s="19" t="s">
        <v>1068</v>
      </c>
      <c r="K699" s="19" t="s">
        <v>51</v>
      </c>
      <c r="L699" s="19" t="s">
        <v>3516</v>
      </c>
      <c r="M699" s="19" t="s">
        <v>851</v>
      </c>
      <c r="N699" s="19"/>
      <c r="O699" s="19" t="s">
        <v>3517</v>
      </c>
    </row>
    <row r="700" customFormat="false" ht="22.35" hidden="false" customHeight="false" outlineLevel="0" collapsed="false">
      <c r="A700" s="19" t="s">
        <v>3630</v>
      </c>
      <c r="B700" s="19" t="s">
        <v>917</v>
      </c>
      <c r="C700" s="19" t="str">
        <f aca="false">IFERROR(INDEX('Agent Roster'!$B:$B,MATCH(B700,'Agent Roster'!$A:$A,0)),"UNASSIGNED")</f>
        <v>Org Design Agent</v>
      </c>
      <c r="D700" s="19" t="str">
        <f aca="false">IFERROR(INDEX('Agent Roster'!$D:$D,MATCH(B700,'Agent Roster'!$A:$A,0)),"UNASSIGNED")</f>
        <v>6 · HR &amp; Culture Hub</v>
      </c>
      <c r="E700" s="19" t="s">
        <v>3631</v>
      </c>
      <c r="F700" s="19" t="s">
        <v>3632</v>
      </c>
      <c r="G700" s="19" t="s">
        <v>3513</v>
      </c>
      <c r="H700" s="19" t="s">
        <v>3514</v>
      </c>
      <c r="I700" s="19" t="s">
        <v>928</v>
      </c>
      <c r="J700" s="19" t="s">
        <v>1068</v>
      </c>
      <c r="K700" s="19" t="s">
        <v>51</v>
      </c>
      <c r="L700" s="19" t="s">
        <v>3516</v>
      </c>
      <c r="M700" s="19" t="s">
        <v>851</v>
      </c>
      <c r="N700" s="19"/>
      <c r="O700" s="19" t="s">
        <v>3517</v>
      </c>
    </row>
    <row r="701" customFormat="false" ht="22.35" hidden="false" customHeight="false" outlineLevel="0" collapsed="false">
      <c r="A701" s="19" t="s">
        <v>3633</v>
      </c>
      <c r="B701" s="19" t="s">
        <v>851</v>
      </c>
      <c r="C701" s="19" t="str">
        <f aca="false">IFERROR(INDEX('Agent Roster'!$B:$B,MATCH(B701,'Agent Roster'!$A:$A,0)),"UNASSIGNED")</f>
        <v>HR &amp; Culture Hub Lead</v>
      </c>
      <c r="D701" s="19" t="str">
        <f aca="false">IFERROR(INDEX('Agent Roster'!$D:$D,MATCH(B701,'Agent Roster'!$A:$A,0)),"UNASSIGNED")</f>
        <v>6 · HR &amp; Culture Hub</v>
      </c>
      <c r="E701" s="19" t="s">
        <v>3634</v>
      </c>
      <c r="F701" s="19" t="s">
        <v>3635</v>
      </c>
      <c r="G701" s="19" t="s">
        <v>3513</v>
      </c>
      <c r="H701" s="19" t="s">
        <v>3536</v>
      </c>
      <c r="I701" s="19" t="s">
        <v>3537</v>
      </c>
      <c r="J701" s="19" t="s">
        <v>1139</v>
      </c>
      <c r="K701" s="19" t="s">
        <v>3538</v>
      </c>
      <c r="L701" s="19" t="s">
        <v>3539</v>
      </c>
      <c r="M701" s="19" t="s">
        <v>187</v>
      </c>
      <c r="N701" s="19" t="s">
        <v>3540</v>
      </c>
      <c r="O701" s="19" t="s">
        <v>3517</v>
      </c>
    </row>
    <row r="702" customFormat="false" ht="22.35" hidden="false" customHeight="false" outlineLevel="0" collapsed="false">
      <c r="A702" s="19" t="s">
        <v>3636</v>
      </c>
      <c r="B702" s="19" t="s">
        <v>984</v>
      </c>
      <c r="C702" s="19" t="str">
        <f aca="false">IFERROR(INDEX('Agent Roster'!$B:$B,MATCH(B702,'Agent Roster'!$A:$A,0)),"UNASSIGNED")</f>
        <v>Platform Architect</v>
      </c>
      <c r="D702" s="19" t="str">
        <f aca="false">IFERROR(INDEX('Agent Roster'!$D:$D,MATCH(B702,'Agent Roster'!$A:$A,0)),"UNASSIGNED")</f>
        <v>7 · Technology Hub</v>
      </c>
      <c r="E702" s="19" t="s">
        <v>3637</v>
      </c>
      <c r="F702" s="19" t="s">
        <v>3638</v>
      </c>
      <c r="G702" s="19" t="s">
        <v>3513</v>
      </c>
      <c r="H702" s="19" t="s">
        <v>3514</v>
      </c>
      <c r="I702" s="19" t="s">
        <v>1053</v>
      </c>
      <c r="J702" s="19" t="s">
        <v>1068</v>
      </c>
      <c r="K702" s="19" t="s">
        <v>51</v>
      </c>
      <c r="L702" s="19" t="s">
        <v>3516</v>
      </c>
      <c r="M702" s="19" t="s">
        <v>976</v>
      </c>
      <c r="N702" s="19"/>
      <c r="O702" s="19" t="s">
        <v>3517</v>
      </c>
    </row>
    <row r="703" customFormat="false" ht="22.35" hidden="false" customHeight="false" outlineLevel="0" collapsed="false">
      <c r="A703" s="19" t="s">
        <v>3639</v>
      </c>
      <c r="B703" s="19" t="s">
        <v>997</v>
      </c>
      <c r="C703" s="19" t="str">
        <f aca="false">IFERROR(INDEX('Agent Roster'!$B:$B,MATCH(B703,'Agent Roster'!$A:$A,0)),"UNASSIGNED")</f>
        <v>Automation Engineer (n8n)</v>
      </c>
      <c r="D703" s="19" t="str">
        <f aca="false">IFERROR(INDEX('Agent Roster'!$D:$D,MATCH(B703,'Agent Roster'!$A:$A,0)),"UNASSIGNED")</f>
        <v>7 · Technology Hub</v>
      </c>
      <c r="E703" s="19" t="s">
        <v>3640</v>
      </c>
      <c r="F703" s="19" t="s">
        <v>3641</v>
      </c>
      <c r="G703" s="19" t="s">
        <v>3513</v>
      </c>
      <c r="H703" s="19" t="s">
        <v>3514</v>
      </c>
      <c r="I703" s="19" t="s">
        <v>1053</v>
      </c>
      <c r="J703" s="19" t="s">
        <v>1068</v>
      </c>
      <c r="K703" s="19" t="s">
        <v>51</v>
      </c>
      <c r="L703" s="19" t="s">
        <v>3516</v>
      </c>
      <c r="M703" s="19" t="s">
        <v>976</v>
      </c>
      <c r="N703" s="19"/>
      <c r="O703" s="19" t="s">
        <v>3517</v>
      </c>
    </row>
    <row r="704" customFormat="false" ht="22.35" hidden="false" customHeight="false" outlineLevel="0" collapsed="false">
      <c r="A704" s="19" t="s">
        <v>3642</v>
      </c>
      <c r="B704" s="19" t="s">
        <v>1008</v>
      </c>
      <c r="C704" s="19" t="str">
        <f aca="false">IFERROR(INDEX('Agent Roster'!$B:$B,MATCH(B704,'Agent Roster'!$A:$A,0)),"UNASSIGNED")</f>
        <v>CRM Administrator (Lead Connector / GHL)</v>
      </c>
      <c r="D704" s="19" t="str">
        <f aca="false">IFERROR(INDEX('Agent Roster'!$D:$D,MATCH(B704,'Agent Roster'!$A:$A,0)),"UNASSIGNED")</f>
        <v>7 · Technology Hub</v>
      </c>
      <c r="E704" s="19" t="s">
        <v>3643</v>
      </c>
      <c r="F704" s="19" t="s">
        <v>3644</v>
      </c>
      <c r="G704" s="19" t="s">
        <v>3513</v>
      </c>
      <c r="H704" s="19" t="s">
        <v>3514</v>
      </c>
      <c r="I704" s="19" t="s">
        <v>1053</v>
      </c>
      <c r="J704" s="19" t="s">
        <v>1068</v>
      </c>
      <c r="K704" s="19" t="s">
        <v>51</v>
      </c>
      <c r="L704" s="19" t="s">
        <v>3516</v>
      </c>
      <c r="M704" s="19" t="s">
        <v>976</v>
      </c>
      <c r="N704" s="19"/>
      <c r="O704" s="19" t="s">
        <v>3517</v>
      </c>
    </row>
    <row r="705" customFormat="false" ht="22.35" hidden="false" customHeight="false" outlineLevel="0" collapsed="false">
      <c r="A705" s="19" t="s">
        <v>3645</v>
      </c>
      <c r="B705" s="19" t="s">
        <v>1019</v>
      </c>
      <c r="C705" s="19" t="str">
        <f aca="false">IFERROR(INDEX('Agent Roster'!$B:$B,MATCH(B705,'Agent Roster'!$A:$A,0)),"UNASSIGNED")</f>
        <v>Integrations Agent</v>
      </c>
      <c r="D705" s="19" t="str">
        <f aca="false">IFERROR(INDEX('Agent Roster'!$D:$D,MATCH(B705,'Agent Roster'!$A:$A,0)),"UNASSIGNED")</f>
        <v>7 · Technology Hub</v>
      </c>
      <c r="E705" s="19" t="s">
        <v>3646</v>
      </c>
      <c r="F705" s="19" t="s">
        <v>3647</v>
      </c>
      <c r="G705" s="19" t="s">
        <v>3513</v>
      </c>
      <c r="H705" s="19" t="s">
        <v>3514</v>
      </c>
      <c r="I705" s="19" t="s">
        <v>1053</v>
      </c>
      <c r="J705" s="19" t="s">
        <v>1068</v>
      </c>
      <c r="K705" s="19" t="s">
        <v>51</v>
      </c>
      <c r="L705" s="19" t="s">
        <v>3516</v>
      </c>
      <c r="M705" s="19" t="s">
        <v>976</v>
      </c>
      <c r="N705" s="19"/>
      <c r="O705" s="19" t="s">
        <v>3517</v>
      </c>
    </row>
    <row r="706" customFormat="false" ht="22.35" hidden="false" customHeight="false" outlineLevel="0" collapsed="false">
      <c r="A706" s="19" t="s">
        <v>3648</v>
      </c>
      <c r="B706" s="19" t="s">
        <v>1030</v>
      </c>
      <c r="C706" s="19" t="str">
        <f aca="false">IFERROR(INDEX('Agent Roster'!$B:$B,MATCH(B706,'Agent Roster'!$A:$A,0)),"UNASSIGNED")</f>
        <v>AI Workflow Agent</v>
      </c>
      <c r="D706" s="19" t="str">
        <f aca="false">IFERROR(INDEX('Agent Roster'!$D:$D,MATCH(B706,'Agent Roster'!$A:$A,0)),"UNASSIGNED")</f>
        <v>7 · Technology Hub</v>
      </c>
      <c r="E706" s="19" t="s">
        <v>3649</v>
      </c>
      <c r="F706" s="19" t="s">
        <v>3650</v>
      </c>
      <c r="G706" s="19" t="s">
        <v>3513</v>
      </c>
      <c r="H706" s="19" t="s">
        <v>3514</v>
      </c>
      <c r="I706" s="19" t="s">
        <v>1053</v>
      </c>
      <c r="J706" s="19" t="s">
        <v>1068</v>
      </c>
      <c r="K706" s="19" t="s">
        <v>51</v>
      </c>
      <c r="L706" s="19" t="s">
        <v>3516</v>
      </c>
      <c r="M706" s="19" t="s">
        <v>976</v>
      </c>
      <c r="N706" s="19"/>
      <c r="O706" s="19" t="s">
        <v>3517</v>
      </c>
    </row>
    <row r="707" customFormat="false" ht="22.35" hidden="false" customHeight="false" outlineLevel="0" collapsed="false">
      <c r="A707" s="19" t="s">
        <v>3651</v>
      </c>
      <c r="B707" s="19" t="s">
        <v>1042</v>
      </c>
      <c r="C707" s="19" t="str">
        <f aca="false">IFERROR(INDEX('Agent Roster'!$B:$B,MATCH(B707,'Agent Roster'!$A:$A,0)),"UNASSIGNED")</f>
        <v>Security Agent</v>
      </c>
      <c r="D707" s="19" t="str">
        <f aca="false">IFERROR(INDEX('Agent Roster'!$D:$D,MATCH(B707,'Agent Roster'!$A:$A,0)),"UNASSIGNED")</f>
        <v>7 · Technology Hub</v>
      </c>
      <c r="E707" s="19" t="s">
        <v>3652</v>
      </c>
      <c r="F707" s="19" t="s">
        <v>3653</v>
      </c>
      <c r="G707" s="19" t="s">
        <v>3513</v>
      </c>
      <c r="H707" s="19" t="s">
        <v>3514</v>
      </c>
      <c r="I707" s="19" t="s">
        <v>1053</v>
      </c>
      <c r="J707" s="19" t="s">
        <v>1068</v>
      </c>
      <c r="K707" s="19" t="s">
        <v>51</v>
      </c>
      <c r="L707" s="19" t="s">
        <v>3516</v>
      </c>
      <c r="M707" s="19" t="s">
        <v>976</v>
      </c>
      <c r="N707" s="19"/>
      <c r="O707" s="19" t="s">
        <v>3517</v>
      </c>
    </row>
    <row r="708" customFormat="false" ht="22.35" hidden="false" customHeight="false" outlineLevel="0" collapsed="false">
      <c r="A708" s="19" t="s">
        <v>3654</v>
      </c>
      <c r="B708" s="19" t="s">
        <v>976</v>
      </c>
      <c r="C708" s="19" t="str">
        <f aca="false">IFERROR(INDEX('Agent Roster'!$B:$B,MATCH(B708,'Agent Roster'!$A:$A,0)),"UNASSIGNED")</f>
        <v>Technology Hub Lead</v>
      </c>
      <c r="D708" s="19" t="str">
        <f aca="false">IFERROR(INDEX('Agent Roster'!$D:$D,MATCH(B708,'Agent Roster'!$A:$A,0)),"UNASSIGNED")</f>
        <v>7 · Technology Hub</v>
      </c>
      <c r="E708" s="19" t="s">
        <v>3655</v>
      </c>
      <c r="F708" s="19" t="s">
        <v>3656</v>
      </c>
      <c r="G708" s="19" t="s">
        <v>3513</v>
      </c>
      <c r="H708" s="19" t="s">
        <v>3536</v>
      </c>
      <c r="I708" s="19" t="s">
        <v>3537</v>
      </c>
      <c r="J708" s="19" t="s">
        <v>1139</v>
      </c>
      <c r="K708" s="19" t="s">
        <v>3538</v>
      </c>
      <c r="L708" s="19" t="s">
        <v>3539</v>
      </c>
      <c r="M708" s="19" t="s">
        <v>187</v>
      </c>
      <c r="N708" s="19" t="s">
        <v>3540</v>
      </c>
      <c r="O708" s="19" t="s">
        <v>3517</v>
      </c>
    </row>
    <row r="709" customFormat="false" ht="22.35" hidden="false" customHeight="false" outlineLevel="0" collapsed="false">
      <c r="A709" s="19" t="s">
        <v>3657</v>
      </c>
      <c r="B709" s="19" t="s">
        <v>1082</v>
      </c>
      <c r="C709" s="19" t="str">
        <f aca="false">IFERROR(INDEX('Agent Roster'!$B:$B,MATCH(B709,'Agent Roster'!$A:$A,0)),"UNASSIGNED")</f>
        <v>Pre-Immersion Prep Agent</v>
      </c>
      <c r="D709" s="19" t="str">
        <f aca="false">IFERROR(INDEX('Agent Roster'!$D:$D,MATCH(B709,'Agent Roster'!$A:$A,0)),"UNASSIGNED")</f>
        <v>8 · Client Success Hub</v>
      </c>
      <c r="E709" s="19" t="s">
        <v>3658</v>
      </c>
      <c r="F709" s="19" t="s">
        <v>3659</v>
      </c>
      <c r="G709" s="19" t="s">
        <v>3513</v>
      </c>
      <c r="H709" s="19" t="s">
        <v>3514</v>
      </c>
      <c r="I709" s="19" t="s">
        <v>1156</v>
      </c>
      <c r="J709" s="19" t="s">
        <v>1068</v>
      </c>
      <c r="K709" s="19" t="s">
        <v>51</v>
      </c>
      <c r="L709" s="19" t="s">
        <v>3516</v>
      </c>
      <c r="M709" s="19" t="s">
        <v>1074</v>
      </c>
      <c r="N709" s="19"/>
      <c r="O709" s="19" t="s">
        <v>3517</v>
      </c>
    </row>
    <row r="710" customFormat="false" ht="22.35" hidden="false" customHeight="false" outlineLevel="0" collapsed="false">
      <c r="A710" s="19" t="s">
        <v>3660</v>
      </c>
      <c r="B710" s="19" t="s">
        <v>1123</v>
      </c>
      <c r="C710" s="19" t="str">
        <f aca="false">IFERROR(INDEX('Agent Roster'!$B:$B,MATCH(B710,'Agent Roster'!$A:$A,0)),"UNASSIGNED")</f>
        <v>Customer Service &amp; Support Agent</v>
      </c>
      <c r="D710" s="19" t="str">
        <f aca="false">IFERROR(INDEX('Agent Roster'!$D:$D,MATCH(B710,'Agent Roster'!$A:$A,0)),"UNASSIGNED")</f>
        <v>8 · Client Success Hub</v>
      </c>
      <c r="E710" s="19" t="s">
        <v>3661</v>
      </c>
      <c r="F710" s="19" t="s">
        <v>3662</v>
      </c>
      <c r="G710" s="19" t="s">
        <v>3513</v>
      </c>
      <c r="H710" s="19" t="s">
        <v>3514</v>
      </c>
      <c r="I710" s="19" t="s">
        <v>1156</v>
      </c>
      <c r="J710" s="19" t="s">
        <v>1068</v>
      </c>
      <c r="K710" s="19" t="s">
        <v>51</v>
      </c>
      <c r="L710" s="19" t="s">
        <v>3516</v>
      </c>
      <c r="M710" s="19" t="s">
        <v>1074</v>
      </c>
      <c r="N710" s="19"/>
      <c r="O710" s="19" t="s">
        <v>3517</v>
      </c>
    </row>
    <row r="711" customFormat="false" ht="22.35" hidden="false" customHeight="false" outlineLevel="0" collapsed="false">
      <c r="A711" s="19" t="s">
        <v>3663</v>
      </c>
      <c r="B711" s="19" t="s">
        <v>1112</v>
      </c>
      <c r="C711" s="19" t="str">
        <f aca="false">IFERROR(INDEX('Agent Roster'!$B:$B,MATCH(B711,'Agent Roster'!$A:$A,0)),"UNASSIGNED")</f>
        <v>Account Manager Agent</v>
      </c>
      <c r="D711" s="19" t="str">
        <f aca="false">IFERROR(INDEX('Agent Roster'!$D:$D,MATCH(B711,'Agent Roster'!$A:$A,0)),"UNASSIGNED")</f>
        <v>8 · Client Success Hub</v>
      </c>
      <c r="E711" s="19" t="s">
        <v>3664</v>
      </c>
      <c r="F711" s="19" t="s">
        <v>3665</v>
      </c>
      <c r="G711" s="19" t="s">
        <v>3513</v>
      </c>
      <c r="H711" s="19" t="s">
        <v>3514</v>
      </c>
      <c r="I711" s="19" t="s">
        <v>1156</v>
      </c>
      <c r="J711" s="19" t="s">
        <v>1068</v>
      </c>
      <c r="K711" s="19" t="s">
        <v>51</v>
      </c>
      <c r="L711" s="19" t="s">
        <v>3516</v>
      </c>
      <c r="M711" s="19" t="s">
        <v>1074</v>
      </c>
      <c r="N711" s="19"/>
      <c r="O711" s="19" t="s">
        <v>3517</v>
      </c>
    </row>
    <row r="712" customFormat="false" ht="22.35" hidden="false" customHeight="false" outlineLevel="0" collapsed="false">
      <c r="A712" s="19" t="s">
        <v>3666</v>
      </c>
      <c r="B712" s="19" t="s">
        <v>1146</v>
      </c>
      <c r="C712" s="19" t="str">
        <f aca="false">IFERROR(INDEX('Agent Roster'!$B:$B,MATCH(B712,'Agent Roster'!$A:$A,0)),"UNASSIGNED")</f>
        <v>NPS &amp; Client Feedback Agent</v>
      </c>
      <c r="D712" s="19" t="str">
        <f aca="false">IFERROR(INDEX('Agent Roster'!$D:$D,MATCH(B712,'Agent Roster'!$A:$A,0)),"UNASSIGNED")</f>
        <v>8 · Client Success Hub</v>
      </c>
      <c r="E712" s="19" t="s">
        <v>3667</v>
      </c>
      <c r="F712" s="19" t="s">
        <v>3668</v>
      </c>
      <c r="G712" s="19" t="s">
        <v>3513</v>
      </c>
      <c r="H712" s="19" t="s">
        <v>3514</v>
      </c>
      <c r="I712" s="19" t="s">
        <v>1156</v>
      </c>
      <c r="J712" s="19" t="s">
        <v>1068</v>
      </c>
      <c r="K712" s="19" t="s">
        <v>51</v>
      </c>
      <c r="L712" s="19" t="s">
        <v>3516</v>
      </c>
      <c r="M712" s="19" t="s">
        <v>1074</v>
      </c>
      <c r="N712" s="19"/>
      <c r="O712" s="19" t="s">
        <v>3517</v>
      </c>
    </row>
    <row r="713" customFormat="false" ht="22.35" hidden="false" customHeight="false" outlineLevel="0" collapsed="false">
      <c r="A713" s="19" t="s">
        <v>3669</v>
      </c>
      <c r="B713" s="19" t="s">
        <v>1157</v>
      </c>
      <c r="C713" s="19" t="str">
        <f aca="false">IFERROR(INDEX('Agent Roster'!$B:$B,MATCH(B713,'Agent Roster'!$A:$A,0)),"UNASSIGNED")</f>
        <v>Churn Prevention Agent</v>
      </c>
      <c r="D713" s="19" t="str">
        <f aca="false">IFERROR(INDEX('Agent Roster'!$D:$D,MATCH(B713,'Agent Roster'!$A:$A,0)),"UNASSIGNED")</f>
        <v>8 · Client Success Hub</v>
      </c>
      <c r="E713" s="19" t="s">
        <v>3670</v>
      </c>
      <c r="F713" s="19" t="s">
        <v>3671</v>
      </c>
      <c r="G713" s="19" t="s">
        <v>3513</v>
      </c>
      <c r="H713" s="19" t="s">
        <v>3514</v>
      </c>
      <c r="I713" s="19" t="s">
        <v>1156</v>
      </c>
      <c r="J713" s="19" t="s">
        <v>1068</v>
      </c>
      <c r="K713" s="19" t="s">
        <v>51</v>
      </c>
      <c r="L713" s="19" t="s">
        <v>3516</v>
      </c>
      <c r="M713" s="19" t="s">
        <v>1074</v>
      </c>
      <c r="N713" s="19"/>
      <c r="O713" s="19" t="s">
        <v>3517</v>
      </c>
    </row>
    <row r="714" customFormat="false" ht="22.35" hidden="false" customHeight="false" outlineLevel="0" collapsed="false">
      <c r="A714" s="19" t="s">
        <v>3672</v>
      </c>
      <c r="B714" s="19" t="s">
        <v>1169</v>
      </c>
      <c r="C714" s="19" t="str">
        <f aca="false">IFERROR(INDEX('Agent Roster'!$B:$B,MATCH(B714,'Agent Roster'!$A:$A,0)),"UNASSIGNED")</f>
        <v>Expansion &amp; Referral Agent</v>
      </c>
      <c r="D714" s="19" t="str">
        <f aca="false">IFERROR(INDEX('Agent Roster'!$D:$D,MATCH(B714,'Agent Roster'!$A:$A,0)),"UNASSIGNED")</f>
        <v>8 · Client Success Hub</v>
      </c>
      <c r="E714" s="19" t="s">
        <v>3673</v>
      </c>
      <c r="F714" s="19" t="s">
        <v>3674</v>
      </c>
      <c r="G714" s="19" t="s">
        <v>3513</v>
      </c>
      <c r="H714" s="19" t="s">
        <v>3514</v>
      </c>
      <c r="I714" s="19" t="s">
        <v>1156</v>
      </c>
      <c r="J714" s="19" t="s">
        <v>1068</v>
      </c>
      <c r="K714" s="19" t="s">
        <v>51</v>
      </c>
      <c r="L714" s="19" t="s">
        <v>3516</v>
      </c>
      <c r="M714" s="19" t="s">
        <v>1074</v>
      </c>
      <c r="N714" s="19"/>
      <c r="O714" s="19" t="s">
        <v>3517</v>
      </c>
    </row>
    <row r="715" customFormat="false" ht="22.35" hidden="false" customHeight="false" outlineLevel="0" collapsed="false">
      <c r="A715" s="19" t="s">
        <v>3675</v>
      </c>
      <c r="B715" s="19" t="s">
        <v>1074</v>
      </c>
      <c r="C715" s="19" t="str">
        <f aca="false">IFERROR(INDEX('Agent Roster'!$B:$B,MATCH(B715,'Agent Roster'!$A:$A,0)),"UNASSIGNED")</f>
        <v>Client Success Hub Lead (ACE Expansion owner)</v>
      </c>
      <c r="D715" s="19" t="str">
        <f aca="false">IFERROR(INDEX('Agent Roster'!$D:$D,MATCH(B715,'Agent Roster'!$A:$A,0)),"UNASSIGNED")</f>
        <v>8 · Client Success Hub</v>
      </c>
      <c r="E715" s="19" t="s">
        <v>3676</v>
      </c>
      <c r="F715" s="19" t="s">
        <v>3677</v>
      </c>
      <c r="G715" s="19" t="s">
        <v>3513</v>
      </c>
      <c r="H715" s="19" t="s">
        <v>3536</v>
      </c>
      <c r="I715" s="19" t="s">
        <v>3537</v>
      </c>
      <c r="J715" s="19" t="s">
        <v>1139</v>
      </c>
      <c r="K715" s="19" t="s">
        <v>3538</v>
      </c>
      <c r="L715" s="19" t="s">
        <v>3539</v>
      </c>
      <c r="M715" s="19" t="s">
        <v>187</v>
      </c>
      <c r="N715" s="19" t="s">
        <v>3540</v>
      </c>
      <c r="O715" s="19" t="s">
        <v>3517</v>
      </c>
    </row>
    <row r="716" customFormat="false" ht="22.35" hidden="false" customHeight="false" outlineLevel="0" collapsed="false">
      <c r="A716" s="19" t="s">
        <v>3678</v>
      </c>
      <c r="B716" s="19" t="s">
        <v>1210</v>
      </c>
      <c r="C716" s="19" t="str">
        <f aca="false">IFERROR(INDEX('Agent Roster'!$B:$B,MATCH(B716,'Agent Roster'!$A:$A,0)),"UNASSIGNED")</f>
        <v>IP Creation Agent</v>
      </c>
      <c r="D716" s="19" t="str">
        <f aca="false">IFERROR(INDEX('Agent Roster'!$D:$D,MATCH(B716,'Agent Roster'!$A:$A,0)),"UNASSIGNED")</f>
        <v>9 · Content Hub</v>
      </c>
      <c r="E716" s="19" t="s">
        <v>3679</v>
      </c>
      <c r="F716" s="19" t="s">
        <v>3680</v>
      </c>
      <c r="G716" s="19" t="s">
        <v>3513</v>
      </c>
      <c r="H716" s="19" t="s">
        <v>3514</v>
      </c>
      <c r="I716" s="19" t="s">
        <v>3681</v>
      </c>
      <c r="J716" s="19" t="s">
        <v>1068</v>
      </c>
      <c r="K716" s="19" t="s">
        <v>51</v>
      </c>
      <c r="L716" s="19" t="s">
        <v>3516</v>
      </c>
      <c r="M716" s="19" t="s">
        <v>1202</v>
      </c>
      <c r="N716" s="19"/>
      <c r="O716" s="19" t="s">
        <v>3517</v>
      </c>
    </row>
    <row r="717" customFormat="false" ht="22.35" hidden="false" customHeight="false" outlineLevel="0" collapsed="false">
      <c r="A717" s="19" t="s">
        <v>3682</v>
      </c>
      <c r="B717" s="19" t="s">
        <v>1222</v>
      </c>
      <c r="C717" s="19" t="str">
        <f aca="false">IFERROR(INDEX('Agent Roster'!$B:$B,MATCH(B717,'Agent Roster'!$A:$A,0)),"UNASSIGNED")</f>
        <v>Media Production Agent (Mode 2 Demonstration)</v>
      </c>
      <c r="D717" s="19" t="str">
        <f aca="false">IFERROR(INDEX('Agent Roster'!$D:$D,MATCH(B717,'Agent Roster'!$A:$A,0)),"UNASSIGNED")</f>
        <v>9 · Content Hub</v>
      </c>
      <c r="E717" s="19" t="s">
        <v>3683</v>
      </c>
      <c r="F717" s="19" t="s">
        <v>3684</v>
      </c>
      <c r="G717" s="19" t="s">
        <v>3513</v>
      </c>
      <c r="H717" s="19" t="s">
        <v>3514</v>
      </c>
      <c r="I717" s="19" t="s">
        <v>3681</v>
      </c>
      <c r="J717" s="19" t="s">
        <v>1068</v>
      </c>
      <c r="K717" s="19" t="s">
        <v>51</v>
      </c>
      <c r="L717" s="19" t="s">
        <v>3516</v>
      </c>
      <c r="M717" s="19" t="s">
        <v>1202</v>
      </c>
      <c r="N717" s="19"/>
      <c r="O717" s="19" t="s">
        <v>3517</v>
      </c>
    </row>
    <row r="718" customFormat="false" ht="22.35" hidden="false" customHeight="false" outlineLevel="0" collapsed="false">
      <c r="A718" s="19" t="s">
        <v>3685</v>
      </c>
      <c r="B718" s="19" t="s">
        <v>1233</v>
      </c>
      <c r="C718" s="19" t="str">
        <f aca="false">IFERROR(INDEX('Agent Roster'!$B:$B,MATCH(B718,'Agent Roster'!$A:$A,0)),"UNASSIGNED")</f>
        <v>Methodology &amp; SOP Documentation Steward (Mode 3)</v>
      </c>
      <c r="D718" s="19" t="str">
        <f aca="false">IFERROR(INDEX('Agent Roster'!$D:$D,MATCH(B718,'Agent Roster'!$A:$A,0)),"UNASSIGNED")</f>
        <v>9 · Content Hub</v>
      </c>
      <c r="E718" s="19" t="s">
        <v>3686</v>
      </c>
      <c r="F718" s="19" t="s">
        <v>3687</v>
      </c>
      <c r="G718" s="19" t="s">
        <v>3513</v>
      </c>
      <c r="H718" s="19" t="s">
        <v>3514</v>
      </c>
      <c r="I718" s="19" t="s">
        <v>3681</v>
      </c>
      <c r="J718" s="19" t="s">
        <v>1068</v>
      </c>
      <c r="K718" s="19" t="s">
        <v>51</v>
      </c>
      <c r="L718" s="19" t="s">
        <v>3516</v>
      </c>
      <c r="M718" s="19" t="s">
        <v>1202</v>
      </c>
      <c r="N718" s="19"/>
      <c r="O718" s="19" t="s">
        <v>3517</v>
      </c>
    </row>
    <row r="719" customFormat="false" ht="22.35" hidden="false" customHeight="false" outlineLevel="0" collapsed="false">
      <c r="A719" s="19" t="s">
        <v>3688</v>
      </c>
      <c r="B719" s="19" t="s">
        <v>1244</v>
      </c>
      <c r="C719" s="19" t="str">
        <f aca="false">IFERROR(INDEX('Agent Roster'!$B:$B,MATCH(B719,'Agent Roster'!$A:$A,0)),"UNASSIGNED")</f>
        <v>Brand Standards Agent</v>
      </c>
      <c r="D719" s="19" t="str">
        <f aca="false">IFERROR(INDEX('Agent Roster'!$D:$D,MATCH(B719,'Agent Roster'!$A:$A,0)),"UNASSIGNED")</f>
        <v>9 · Content Hub</v>
      </c>
      <c r="E719" s="19" t="s">
        <v>3689</v>
      </c>
      <c r="F719" s="19" t="s">
        <v>3690</v>
      </c>
      <c r="G719" s="19" t="s">
        <v>3513</v>
      </c>
      <c r="H719" s="19" t="s">
        <v>3514</v>
      </c>
      <c r="I719" s="19" t="s">
        <v>3681</v>
      </c>
      <c r="J719" s="19" t="s">
        <v>1068</v>
      </c>
      <c r="K719" s="19" t="s">
        <v>51</v>
      </c>
      <c r="L719" s="19" t="s">
        <v>3516</v>
      </c>
      <c r="M719" s="19" t="s">
        <v>1202</v>
      </c>
      <c r="N719" s="19"/>
      <c r="O719" s="19" t="s">
        <v>3517</v>
      </c>
    </row>
    <row r="720" customFormat="false" ht="22.35" hidden="false" customHeight="false" outlineLevel="0" collapsed="false">
      <c r="A720" s="19" t="s">
        <v>3691</v>
      </c>
      <c r="B720" s="19" t="s">
        <v>1256</v>
      </c>
      <c r="C720" s="19" t="str">
        <f aca="false">IFERROR(INDEX('Agent Roster'!$B:$B,MATCH(B720,'Agent Roster'!$A:$A,0)),"UNASSIGNED")</f>
        <v>GFunnel University Curriculum Agent</v>
      </c>
      <c r="D720" s="19" t="str">
        <f aca="false">IFERROR(INDEX('Agent Roster'!$D:$D,MATCH(B720,'Agent Roster'!$A:$A,0)),"UNASSIGNED")</f>
        <v>9 · Content Hub</v>
      </c>
      <c r="E720" s="19" t="s">
        <v>3692</v>
      </c>
      <c r="F720" s="19" t="s">
        <v>3693</v>
      </c>
      <c r="G720" s="19" t="s">
        <v>3513</v>
      </c>
      <c r="H720" s="19" t="s">
        <v>3514</v>
      </c>
      <c r="I720" s="19" t="s">
        <v>3681</v>
      </c>
      <c r="J720" s="19" t="s">
        <v>1068</v>
      </c>
      <c r="K720" s="19" t="s">
        <v>51</v>
      </c>
      <c r="L720" s="19" t="s">
        <v>3516</v>
      </c>
      <c r="M720" s="19" t="s">
        <v>1202</v>
      </c>
      <c r="N720" s="19"/>
      <c r="O720" s="19" t="s">
        <v>3517</v>
      </c>
    </row>
    <row r="721" customFormat="false" ht="22.35" hidden="false" customHeight="false" outlineLevel="0" collapsed="false">
      <c r="A721" s="19" t="s">
        <v>3694</v>
      </c>
      <c r="B721" s="19" t="s">
        <v>1202</v>
      </c>
      <c r="C721" s="19" t="str">
        <f aca="false">IFERROR(INDEX('Agent Roster'!$B:$B,MATCH(B721,'Agent Roster'!$A:$A,0)),"UNASSIGNED")</f>
        <v>Content Hub Lead (Propagation owner)</v>
      </c>
      <c r="D721" s="19" t="str">
        <f aca="false">IFERROR(INDEX('Agent Roster'!$D:$D,MATCH(B721,'Agent Roster'!$A:$A,0)),"UNASSIGNED")</f>
        <v>9 · Content Hub</v>
      </c>
      <c r="E721" s="19" t="s">
        <v>3695</v>
      </c>
      <c r="F721" s="19" t="s">
        <v>3696</v>
      </c>
      <c r="G721" s="19" t="s">
        <v>3513</v>
      </c>
      <c r="H721" s="19" t="s">
        <v>3536</v>
      </c>
      <c r="I721" s="19" t="s">
        <v>3537</v>
      </c>
      <c r="J721" s="19" t="s">
        <v>1139</v>
      </c>
      <c r="K721" s="19" t="s">
        <v>3538</v>
      </c>
      <c r="L721" s="19" t="s">
        <v>3539</v>
      </c>
      <c r="M721" s="19" t="s">
        <v>187</v>
      </c>
      <c r="N721" s="19" t="s">
        <v>3540</v>
      </c>
      <c r="O721" s="19" t="s">
        <v>3517</v>
      </c>
    </row>
    <row r="722" customFormat="false" ht="22.35" hidden="false" customHeight="false" outlineLevel="0" collapsed="false">
      <c r="A722" s="19" t="s">
        <v>3697</v>
      </c>
      <c r="B722" s="19" t="s">
        <v>174</v>
      </c>
      <c r="C722" s="19" t="str">
        <f aca="false">IFERROR(INDEX('Agent Roster'!$B:$B,MATCH(B722,'Agent Roster'!$A:$A,0)),"UNASSIGNED")</f>
        <v>Shepherd's Way Cycle Controller (Layer VI)</v>
      </c>
      <c r="D722" s="19" t="str">
        <f aca="false">IFERROR(INDEX('Agent Roster'!$D:$D,MATCH(B722,'Agent Roster'!$A:$A,0)),"UNASSIGNED")</f>
        <v>Orchestration &amp; Diagnostics</v>
      </c>
      <c r="E722" s="19" t="s">
        <v>3698</v>
      </c>
      <c r="F722" s="19" t="s">
        <v>3699</v>
      </c>
      <c r="G722" s="19" t="s">
        <v>3513</v>
      </c>
      <c r="H722" s="19" t="s">
        <v>3700</v>
      </c>
      <c r="I722" s="19" t="s">
        <v>3701</v>
      </c>
      <c r="J722" s="19" t="s">
        <v>3702</v>
      </c>
      <c r="K722" s="19" t="s">
        <v>3703</v>
      </c>
      <c r="L722" s="19" t="s">
        <v>3704</v>
      </c>
      <c r="M722" s="19" t="s">
        <v>3705</v>
      </c>
      <c r="N722" s="19" t="s">
        <v>3706</v>
      </c>
      <c r="O722" s="19" t="s">
        <v>3517</v>
      </c>
    </row>
    <row r="723" customFormat="false" ht="32.8" hidden="false" customHeight="false" outlineLevel="0" collapsed="false">
      <c r="A723" s="19" t="s">
        <v>3707</v>
      </c>
      <c r="B723" s="19" t="s">
        <v>174</v>
      </c>
      <c r="C723" s="19" t="str">
        <f aca="false">IFERROR(INDEX('Agent Roster'!$B:$B,MATCH(B723,'Agent Roster'!$A:$A,0)),"UNASSIGNED")</f>
        <v>Shepherd's Way Cycle Controller (Layer VI)</v>
      </c>
      <c r="D723" s="19" t="str">
        <f aca="false">IFERROR(INDEX('Agent Roster'!$D:$D,MATCH(B723,'Agent Roster'!$A:$A,0)),"UNASSIGNED")</f>
        <v>Orchestration &amp; Diagnostics</v>
      </c>
      <c r="E723" s="19" t="s">
        <v>3708</v>
      </c>
      <c r="F723" s="19" t="s">
        <v>3709</v>
      </c>
      <c r="G723" s="19" t="s">
        <v>3513</v>
      </c>
      <c r="H723" s="19" t="s">
        <v>3700</v>
      </c>
      <c r="I723" s="19" t="s">
        <v>3710</v>
      </c>
      <c r="J723" s="19" t="s">
        <v>3702</v>
      </c>
      <c r="K723" s="19" t="s">
        <v>3703</v>
      </c>
      <c r="L723" s="19" t="s">
        <v>3711</v>
      </c>
      <c r="M723" s="19" t="s">
        <v>3705</v>
      </c>
      <c r="N723" s="19"/>
      <c r="O723" s="19" t="s">
        <v>3517</v>
      </c>
    </row>
    <row r="724" customFormat="false" ht="32.8" hidden="false" customHeight="false" outlineLevel="0" collapsed="false">
      <c r="A724" s="19" t="s">
        <v>3712</v>
      </c>
      <c r="B724" s="19" t="s">
        <v>174</v>
      </c>
      <c r="C724" s="19" t="str">
        <f aca="false">IFERROR(INDEX('Agent Roster'!$B:$B,MATCH(B724,'Agent Roster'!$A:$A,0)),"UNASSIGNED")</f>
        <v>Shepherd's Way Cycle Controller (Layer VI)</v>
      </c>
      <c r="D724" s="19" t="str">
        <f aca="false">IFERROR(INDEX('Agent Roster'!$D:$D,MATCH(B724,'Agent Roster'!$A:$A,0)),"UNASSIGNED")</f>
        <v>Orchestration &amp; Diagnostics</v>
      </c>
      <c r="E724" s="19" t="s">
        <v>3713</v>
      </c>
      <c r="F724" s="19" t="s">
        <v>3714</v>
      </c>
      <c r="G724" s="19" t="s">
        <v>3513</v>
      </c>
      <c r="H724" s="19" t="s">
        <v>3700</v>
      </c>
      <c r="I724" s="19" t="s">
        <v>3715</v>
      </c>
      <c r="J724" s="19" t="s">
        <v>3702</v>
      </c>
      <c r="K724" s="19" t="s">
        <v>3703</v>
      </c>
      <c r="L724" s="19" t="s">
        <v>3716</v>
      </c>
      <c r="M724" s="19" t="s">
        <v>3705</v>
      </c>
      <c r="N724" s="19"/>
      <c r="O724" s="19" t="s">
        <v>3517</v>
      </c>
    </row>
    <row r="725" customFormat="false" ht="32.8" hidden="false" customHeight="false" outlineLevel="0" collapsed="false">
      <c r="A725" s="19" t="s">
        <v>3717</v>
      </c>
      <c r="B725" s="19" t="s">
        <v>174</v>
      </c>
      <c r="C725" s="19" t="str">
        <f aca="false">IFERROR(INDEX('Agent Roster'!$B:$B,MATCH(B725,'Agent Roster'!$A:$A,0)),"UNASSIGNED")</f>
        <v>Shepherd's Way Cycle Controller (Layer VI)</v>
      </c>
      <c r="D725" s="19" t="str">
        <f aca="false">IFERROR(INDEX('Agent Roster'!$D:$D,MATCH(B725,'Agent Roster'!$A:$A,0)),"UNASSIGNED")</f>
        <v>Orchestration &amp; Diagnostics</v>
      </c>
      <c r="E725" s="19" t="s">
        <v>3718</v>
      </c>
      <c r="F725" s="19" t="s">
        <v>3719</v>
      </c>
      <c r="G725" s="19" t="s">
        <v>3513</v>
      </c>
      <c r="H725" s="19" t="s">
        <v>3700</v>
      </c>
      <c r="I725" s="19" t="s">
        <v>3720</v>
      </c>
      <c r="J725" s="19" t="s">
        <v>3702</v>
      </c>
      <c r="K725" s="19" t="s">
        <v>3703</v>
      </c>
      <c r="L725" s="19" t="s">
        <v>3721</v>
      </c>
      <c r="M725" s="19" t="s">
        <v>3705</v>
      </c>
      <c r="N725" s="19"/>
      <c r="O725" s="19" t="s">
        <v>3517</v>
      </c>
    </row>
    <row r="726" customFormat="false" ht="22.35" hidden="false" customHeight="false" outlineLevel="0" collapsed="false">
      <c r="A726" s="19" t="s">
        <v>3722</v>
      </c>
      <c r="B726" s="19" t="s">
        <v>174</v>
      </c>
      <c r="C726" s="19" t="str">
        <f aca="false">IFERROR(INDEX('Agent Roster'!$B:$B,MATCH(B726,'Agent Roster'!$A:$A,0)),"UNASSIGNED")</f>
        <v>Shepherd's Way Cycle Controller (Layer VI)</v>
      </c>
      <c r="D726" s="19" t="str">
        <f aca="false">IFERROR(INDEX('Agent Roster'!$D:$D,MATCH(B726,'Agent Roster'!$A:$A,0)),"UNASSIGNED")</f>
        <v>Orchestration &amp; Diagnostics</v>
      </c>
      <c r="E726" s="19" t="s">
        <v>3723</v>
      </c>
      <c r="F726" s="19" t="s">
        <v>3724</v>
      </c>
      <c r="G726" s="19" t="s">
        <v>3513</v>
      </c>
      <c r="H726" s="19" t="s">
        <v>3700</v>
      </c>
      <c r="I726" s="19" t="s">
        <v>3725</v>
      </c>
      <c r="J726" s="19" t="s">
        <v>3702</v>
      </c>
      <c r="K726" s="19" t="s">
        <v>3703</v>
      </c>
      <c r="L726" s="19" t="s">
        <v>3726</v>
      </c>
      <c r="M726" s="19" t="s">
        <v>3705</v>
      </c>
      <c r="N726" s="19"/>
      <c r="O726" s="19" t="s">
        <v>3517</v>
      </c>
    </row>
    <row r="727" customFormat="false" ht="22.35" hidden="false" customHeight="false" outlineLevel="0" collapsed="false">
      <c r="A727" s="19" t="s">
        <v>3727</v>
      </c>
      <c r="B727" s="19" t="s">
        <v>302</v>
      </c>
      <c r="C727" s="19" t="str">
        <f aca="false">IFERROR(INDEX('Agent Roster'!$B:$B,MATCH(B727,'Agent Roster'!$A:$A,0)),"UNASSIGNED")</f>
        <v>Database &amp; Documentation Agent (Shepherd's Way Step 06)</v>
      </c>
      <c r="D727" s="19" t="str">
        <f aca="false">IFERROR(INDEX('Agent Roster'!$D:$D,MATCH(B727,'Agent Roster'!$A:$A,0)),"UNASSIGNED")</f>
        <v>Orchestration &amp; Diagnostics</v>
      </c>
      <c r="E727" s="19" t="s">
        <v>3728</v>
      </c>
      <c r="F727" s="19" t="s">
        <v>3729</v>
      </c>
      <c r="G727" s="19" t="s">
        <v>3513</v>
      </c>
      <c r="H727" s="19" t="s">
        <v>3700</v>
      </c>
      <c r="I727" s="19" t="s">
        <v>3730</v>
      </c>
      <c r="J727" s="19" t="s">
        <v>3702</v>
      </c>
      <c r="K727" s="19" t="s">
        <v>3703</v>
      </c>
      <c r="L727" s="19" t="s">
        <v>3731</v>
      </c>
      <c r="M727" s="19" t="s">
        <v>3705</v>
      </c>
      <c r="N727" s="19"/>
      <c r="O727" s="19" t="s">
        <v>3517</v>
      </c>
    </row>
    <row r="728" customFormat="false" ht="22.35" hidden="false" customHeight="false" outlineLevel="0" collapsed="false">
      <c r="A728" s="19" t="s">
        <v>3732</v>
      </c>
      <c r="B728" s="19" t="s">
        <v>174</v>
      </c>
      <c r="C728" s="19" t="str">
        <f aca="false">IFERROR(INDEX('Agent Roster'!$B:$B,MATCH(B728,'Agent Roster'!$A:$A,0)),"UNASSIGNED")</f>
        <v>Shepherd's Way Cycle Controller (Layer VI)</v>
      </c>
      <c r="D728" s="19" t="str">
        <f aca="false">IFERROR(INDEX('Agent Roster'!$D:$D,MATCH(B728,'Agent Roster'!$A:$A,0)),"UNASSIGNED")</f>
        <v>Orchestration &amp; Diagnostics</v>
      </c>
      <c r="E728" s="19" t="s">
        <v>3733</v>
      </c>
      <c r="F728" s="19" t="s">
        <v>3734</v>
      </c>
      <c r="G728" s="19" t="s">
        <v>3513</v>
      </c>
      <c r="H728" s="19" t="s">
        <v>3700</v>
      </c>
      <c r="I728" s="19" t="s">
        <v>3735</v>
      </c>
      <c r="J728" s="19" t="s">
        <v>3702</v>
      </c>
      <c r="K728" s="19" t="s">
        <v>3703</v>
      </c>
      <c r="L728" s="19" t="s">
        <v>3736</v>
      </c>
      <c r="M728" s="19" t="s">
        <v>3705</v>
      </c>
      <c r="N728" s="19"/>
      <c r="O728" s="19" t="s">
        <v>3517</v>
      </c>
    </row>
    <row r="729" customFormat="false" ht="22.35" hidden="false" customHeight="false" outlineLevel="0" collapsed="false">
      <c r="A729" s="19" t="s">
        <v>3737</v>
      </c>
      <c r="B729" s="19" t="s">
        <v>174</v>
      </c>
      <c r="C729" s="19" t="str">
        <f aca="false">IFERROR(INDEX('Agent Roster'!$B:$B,MATCH(B729,'Agent Roster'!$A:$A,0)),"UNASSIGNED")</f>
        <v>Shepherd's Way Cycle Controller (Layer VI)</v>
      </c>
      <c r="D729" s="19" t="str">
        <f aca="false">IFERROR(INDEX('Agent Roster'!$D:$D,MATCH(B729,'Agent Roster'!$A:$A,0)),"UNASSIGNED")</f>
        <v>Orchestration &amp; Diagnostics</v>
      </c>
      <c r="E729" s="19" t="s">
        <v>3738</v>
      </c>
      <c r="F729" s="19" t="s">
        <v>3739</v>
      </c>
      <c r="G729" s="19" t="s">
        <v>3513</v>
      </c>
      <c r="H729" s="19" t="s">
        <v>3740</v>
      </c>
      <c r="I729" s="19" t="s">
        <v>3741</v>
      </c>
      <c r="J729" s="19" t="s">
        <v>3742</v>
      </c>
      <c r="K729" s="19" t="s">
        <v>3743</v>
      </c>
      <c r="L729" s="19" t="s">
        <v>3744</v>
      </c>
      <c r="M729" s="19" t="s">
        <v>3745</v>
      </c>
      <c r="N729" s="19"/>
      <c r="O729" s="19" t="s">
        <v>3517</v>
      </c>
    </row>
    <row r="730" customFormat="false" ht="22.35" hidden="false" customHeight="false" outlineLevel="0" collapsed="false">
      <c r="A730" s="19" t="s">
        <v>3746</v>
      </c>
      <c r="B730" s="19" t="s">
        <v>1082</v>
      </c>
      <c r="C730" s="19" t="str">
        <f aca="false">IFERROR(INDEX('Agent Roster'!$B:$B,MATCH(B730,'Agent Roster'!$A:$A,0)),"UNASSIGNED")</f>
        <v>Pre-Immersion Prep Agent</v>
      </c>
      <c r="D730" s="19" t="str">
        <f aca="false">IFERROR(INDEX('Agent Roster'!$D:$D,MATCH(B730,'Agent Roster'!$A:$A,0)),"UNASSIGNED")</f>
        <v>8 · Client Success Hub</v>
      </c>
      <c r="E730" s="19" t="s">
        <v>3747</v>
      </c>
      <c r="F730" s="19" t="s">
        <v>3748</v>
      </c>
      <c r="G730" s="19" t="s">
        <v>3513</v>
      </c>
      <c r="H730" s="19" t="s">
        <v>3749</v>
      </c>
      <c r="I730" s="19" t="s">
        <v>3750</v>
      </c>
      <c r="J730" s="19" t="s">
        <v>1908</v>
      </c>
      <c r="K730" s="19" t="s">
        <v>51</v>
      </c>
      <c r="L730" s="19" t="s">
        <v>3751</v>
      </c>
      <c r="M730" s="19" t="s">
        <v>3752</v>
      </c>
      <c r="N730" s="19"/>
      <c r="O730" s="19" t="s">
        <v>3517</v>
      </c>
    </row>
    <row r="731" customFormat="false" ht="22.35" hidden="false" customHeight="false" outlineLevel="0" collapsed="false">
      <c r="A731" s="19" t="s">
        <v>3753</v>
      </c>
      <c r="B731" s="19" t="s">
        <v>1088</v>
      </c>
      <c r="C731" s="19" t="str">
        <f aca="false">IFERROR(INDEX('Agent Roster'!$B:$B,MATCH(B731,'Agent Roster'!$A:$A,0)),"UNASSIGNED")</f>
        <v>Immersion Capture Agent</v>
      </c>
      <c r="D731" s="19" t="str">
        <f aca="false">IFERROR(INDEX('Agent Roster'!$D:$D,MATCH(B731,'Agent Roster'!$A:$A,0)),"UNASSIGNED")</f>
        <v>8 · Client Success Hub</v>
      </c>
      <c r="E731" s="19" t="s">
        <v>3754</v>
      </c>
      <c r="F731" s="19" t="s">
        <v>3755</v>
      </c>
      <c r="G731" s="19" t="s">
        <v>3513</v>
      </c>
      <c r="H731" s="19" t="s">
        <v>3749</v>
      </c>
      <c r="I731" s="19" t="s">
        <v>3756</v>
      </c>
      <c r="J731" s="19" t="s">
        <v>1908</v>
      </c>
      <c r="K731" s="19" t="s">
        <v>51</v>
      </c>
      <c r="L731" s="19" t="s">
        <v>3751</v>
      </c>
      <c r="M731" s="19" t="s">
        <v>3752</v>
      </c>
      <c r="N731" s="19" t="s">
        <v>3757</v>
      </c>
      <c r="O731" s="19" t="s">
        <v>3517</v>
      </c>
    </row>
    <row r="732" customFormat="false" ht="32.8" hidden="false" customHeight="false" outlineLevel="0" collapsed="false">
      <c r="A732" s="19" t="s">
        <v>3758</v>
      </c>
      <c r="B732" s="19" t="s">
        <v>1088</v>
      </c>
      <c r="C732" s="19" t="str">
        <f aca="false">IFERROR(INDEX('Agent Roster'!$B:$B,MATCH(B732,'Agent Roster'!$A:$A,0)),"UNASSIGNED")</f>
        <v>Immersion Capture Agent</v>
      </c>
      <c r="D732" s="19" t="str">
        <f aca="false">IFERROR(INDEX('Agent Roster'!$D:$D,MATCH(B732,'Agent Roster'!$A:$A,0)),"UNASSIGNED")</f>
        <v>8 · Client Success Hub</v>
      </c>
      <c r="E732" s="19" t="s">
        <v>3759</v>
      </c>
      <c r="F732" s="19" t="s">
        <v>3760</v>
      </c>
      <c r="G732" s="19" t="s">
        <v>3513</v>
      </c>
      <c r="H732" s="19" t="s">
        <v>3749</v>
      </c>
      <c r="I732" s="19" t="s">
        <v>3761</v>
      </c>
      <c r="J732" s="19" t="s">
        <v>1908</v>
      </c>
      <c r="K732" s="19" t="s">
        <v>51</v>
      </c>
      <c r="L732" s="19" t="s">
        <v>3751</v>
      </c>
      <c r="M732" s="19" t="s">
        <v>3752</v>
      </c>
      <c r="N732" s="19" t="s">
        <v>3757</v>
      </c>
      <c r="O732" s="19" t="s">
        <v>3517</v>
      </c>
    </row>
    <row r="733" customFormat="false" ht="22.35" hidden="false" customHeight="false" outlineLevel="0" collapsed="false">
      <c r="A733" s="19" t="s">
        <v>3762</v>
      </c>
      <c r="B733" s="19" t="s">
        <v>1097</v>
      </c>
      <c r="C733" s="19" t="str">
        <f aca="false">IFERROR(INDEX('Agent Roster'!$B:$B,MATCH(B733,'Agent Roster'!$A:$A,0)),"UNASSIGNED")</f>
        <v>Blueprint Agent</v>
      </c>
      <c r="D733" s="19" t="str">
        <f aca="false">IFERROR(INDEX('Agent Roster'!$D:$D,MATCH(B733,'Agent Roster'!$A:$A,0)),"UNASSIGNED")</f>
        <v>8 · Client Success Hub</v>
      </c>
      <c r="E733" s="19" t="s">
        <v>3763</v>
      </c>
      <c r="F733" s="19" t="s">
        <v>3764</v>
      </c>
      <c r="G733" s="19" t="s">
        <v>3513</v>
      </c>
      <c r="H733" s="19" t="s">
        <v>3749</v>
      </c>
      <c r="I733" s="19" t="s">
        <v>3765</v>
      </c>
      <c r="J733" s="19" t="s">
        <v>1908</v>
      </c>
      <c r="K733" s="19" t="s">
        <v>51</v>
      </c>
      <c r="L733" s="19" t="s">
        <v>3751</v>
      </c>
      <c r="M733" s="19" t="s">
        <v>3752</v>
      </c>
      <c r="N733" s="19"/>
      <c r="O733" s="19" t="s">
        <v>3517</v>
      </c>
    </row>
    <row r="734" customFormat="false" ht="22.35" hidden="false" customHeight="false" outlineLevel="0" collapsed="false">
      <c r="A734" s="19" t="s">
        <v>3766</v>
      </c>
      <c r="B734" s="19" t="s">
        <v>1097</v>
      </c>
      <c r="C734" s="19" t="str">
        <f aca="false">IFERROR(INDEX('Agent Roster'!$B:$B,MATCH(B734,'Agent Roster'!$A:$A,0)),"UNASSIGNED")</f>
        <v>Blueprint Agent</v>
      </c>
      <c r="D734" s="19" t="str">
        <f aca="false">IFERROR(INDEX('Agent Roster'!$D:$D,MATCH(B734,'Agent Roster'!$A:$A,0)),"UNASSIGNED")</f>
        <v>8 · Client Success Hub</v>
      </c>
      <c r="E734" s="19" t="s">
        <v>3767</v>
      </c>
      <c r="F734" s="19" t="s">
        <v>3768</v>
      </c>
      <c r="G734" s="19" t="s">
        <v>3513</v>
      </c>
      <c r="H734" s="19" t="s">
        <v>3749</v>
      </c>
      <c r="I734" s="19" t="s">
        <v>3769</v>
      </c>
      <c r="J734" s="19" t="s">
        <v>1908</v>
      </c>
      <c r="K734" s="19" t="s">
        <v>51</v>
      </c>
      <c r="L734" s="19" t="s">
        <v>3751</v>
      </c>
      <c r="M734" s="19" t="s">
        <v>3752</v>
      </c>
      <c r="N734" s="19" t="s">
        <v>3770</v>
      </c>
      <c r="O734" s="19" t="s">
        <v>3517</v>
      </c>
    </row>
    <row r="735" customFormat="false" ht="22.35" hidden="false" customHeight="false" outlineLevel="0" collapsed="false">
      <c r="A735" s="19" t="s">
        <v>3771</v>
      </c>
      <c r="B735" s="19" t="s">
        <v>752</v>
      </c>
      <c r="C735" s="19" t="str">
        <f aca="false">IFERROR(INDEX('Agent Roster'!$B:$B,MATCH(B735,'Agent Roster'!$A:$A,0)),"UNASSIGNED")</f>
        <v>Client Build Agent</v>
      </c>
      <c r="D735" s="19" t="str">
        <f aca="false">IFERROR(INDEX('Agent Roster'!$D:$D,MATCH(B735,'Agent Roster'!$A:$A,0)),"UNASSIGNED")</f>
        <v>4 · Operations Hub</v>
      </c>
      <c r="E735" s="19" t="s">
        <v>3772</v>
      </c>
      <c r="F735" s="19" t="s">
        <v>3773</v>
      </c>
      <c r="G735" s="19" t="s">
        <v>3513</v>
      </c>
      <c r="H735" s="19" t="s">
        <v>3749</v>
      </c>
      <c r="I735" s="19" t="s">
        <v>3774</v>
      </c>
      <c r="J735" s="19" t="s">
        <v>1908</v>
      </c>
      <c r="K735" s="19" t="s">
        <v>51</v>
      </c>
      <c r="L735" s="19" t="s">
        <v>3751</v>
      </c>
      <c r="M735" s="19" t="s">
        <v>3752</v>
      </c>
      <c r="N735" s="19"/>
      <c r="O735" s="19" t="s">
        <v>3517</v>
      </c>
    </row>
    <row r="736" customFormat="false" ht="22.35" hidden="false" customHeight="false" outlineLevel="0" collapsed="false">
      <c r="A736" s="19" t="s">
        <v>3775</v>
      </c>
      <c r="B736" s="19" t="s">
        <v>510</v>
      </c>
      <c r="C736" s="19" t="str">
        <f aca="false">IFERROR(INDEX('Agent Roster'!$B:$B,MATCH(B736,'Agent Roster'!$A:$A,0)),"UNASSIGNED")</f>
        <v>Lead Capture, Tagging &amp; Channel ROI Agent</v>
      </c>
      <c r="D736" s="19" t="str">
        <f aca="false">IFERROR(INDEX('Agent Roster'!$D:$D,MATCH(B736,'Agent Roster'!$A:$A,0)),"UNASSIGNED")</f>
        <v>2 · Marketing Hub</v>
      </c>
      <c r="E736" s="19" t="s">
        <v>3776</v>
      </c>
      <c r="F736" s="19" t="s">
        <v>3777</v>
      </c>
      <c r="G736" s="19" t="s">
        <v>3513</v>
      </c>
      <c r="H736" s="19" t="s">
        <v>3778</v>
      </c>
      <c r="I736" s="19" t="s">
        <v>497</v>
      </c>
      <c r="J736" s="19" t="s">
        <v>1068</v>
      </c>
      <c r="K736" s="19" t="s">
        <v>3779</v>
      </c>
      <c r="L736" s="19" t="s">
        <v>51</v>
      </c>
      <c r="M736" s="19" t="s">
        <v>587</v>
      </c>
      <c r="N736" s="19"/>
      <c r="O736" s="19" t="s">
        <v>3517</v>
      </c>
    </row>
    <row r="737" customFormat="false" ht="22.35" hidden="false" customHeight="false" outlineLevel="0" collapsed="false">
      <c r="A737" s="19" t="s">
        <v>3780</v>
      </c>
      <c r="B737" s="19" t="s">
        <v>510</v>
      </c>
      <c r="C737" s="19" t="str">
        <f aca="false">IFERROR(INDEX('Agent Roster'!$B:$B,MATCH(B737,'Agent Roster'!$A:$A,0)),"UNASSIGNED")</f>
        <v>Lead Capture, Tagging &amp; Channel ROI Agent</v>
      </c>
      <c r="D737" s="19" t="str">
        <f aca="false">IFERROR(INDEX('Agent Roster'!$D:$D,MATCH(B737,'Agent Roster'!$A:$A,0)),"UNASSIGNED")</f>
        <v>2 · Marketing Hub</v>
      </c>
      <c r="E737" s="19" t="s">
        <v>3781</v>
      </c>
      <c r="F737" s="19" t="s">
        <v>3782</v>
      </c>
      <c r="G737" s="19" t="s">
        <v>3513</v>
      </c>
      <c r="H737" s="19" t="s">
        <v>3778</v>
      </c>
      <c r="I737" s="19" t="s">
        <v>497</v>
      </c>
      <c r="J737" s="19" t="s">
        <v>1068</v>
      </c>
      <c r="K737" s="19" t="s">
        <v>3779</v>
      </c>
      <c r="L737" s="19" t="s">
        <v>51</v>
      </c>
      <c r="M737" s="19" t="s">
        <v>587</v>
      </c>
      <c r="N737" s="19"/>
      <c r="O737" s="19" t="s">
        <v>3517</v>
      </c>
    </row>
    <row r="738" customFormat="false" ht="15" hidden="false" customHeight="false" outlineLevel="0" collapsed="false">
      <c r="A738" s="19" t="s">
        <v>3783</v>
      </c>
      <c r="B738" s="19" t="s">
        <v>565</v>
      </c>
      <c r="C738" s="19" t="str">
        <f aca="false">IFERROR(INDEX('Agent Roster'!$B:$B,MATCH(B738,'Agent Roster'!$A:$A,0)),"UNASSIGNED")</f>
        <v>Instant Response Agent</v>
      </c>
      <c r="D738" s="19" t="str">
        <f aca="false">IFERROR(INDEX('Agent Roster'!$D:$D,MATCH(B738,'Agent Roster'!$A:$A,0)),"UNASSIGNED")</f>
        <v>3 · Sales Hub</v>
      </c>
      <c r="E738" s="19" t="s">
        <v>3784</v>
      </c>
      <c r="F738" s="19" t="s">
        <v>3785</v>
      </c>
      <c r="G738" s="19" t="s">
        <v>3513</v>
      </c>
      <c r="H738" s="19" t="s">
        <v>3778</v>
      </c>
      <c r="I738" s="19" t="s">
        <v>497</v>
      </c>
      <c r="J738" s="19" t="s">
        <v>1068</v>
      </c>
      <c r="K738" s="19" t="s">
        <v>3779</v>
      </c>
      <c r="L738" s="19" t="s">
        <v>51</v>
      </c>
      <c r="M738" s="19" t="s">
        <v>587</v>
      </c>
      <c r="N738" s="19"/>
      <c r="O738" s="19" t="s">
        <v>3517</v>
      </c>
    </row>
    <row r="739" customFormat="false" ht="15" hidden="false" customHeight="false" outlineLevel="0" collapsed="false">
      <c r="A739" s="19" t="s">
        <v>3786</v>
      </c>
      <c r="B739" s="19" t="s">
        <v>571</v>
      </c>
      <c r="C739" s="19" t="str">
        <f aca="false">IFERROR(INDEX('Agent Roster'!$B:$B,MATCH(B739,'Agent Roster'!$A:$A,0)),"UNASSIGNED")</f>
        <v>Lead Qualification Agent</v>
      </c>
      <c r="D739" s="19" t="str">
        <f aca="false">IFERROR(INDEX('Agent Roster'!$D:$D,MATCH(B739,'Agent Roster'!$A:$A,0)),"UNASSIGNED")</f>
        <v>3 · Sales Hub</v>
      </c>
      <c r="E739" s="19" t="s">
        <v>3787</v>
      </c>
      <c r="F739" s="19" t="s">
        <v>3788</v>
      </c>
      <c r="G739" s="19" t="s">
        <v>3513</v>
      </c>
      <c r="H739" s="19" t="s">
        <v>3778</v>
      </c>
      <c r="I739" s="19" t="s">
        <v>497</v>
      </c>
      <c r="J739" s="19" t="s">
        <v>1068</v>
      </c>
      <c r="K739" s="19" t="s">
        <v>3779</v>
      </c>
      <c r="L739" s="19" t="s">
        <v>51</v>
      </c>
      <c r="M739" s="19" t="s">
        <v>587</v>
      </c>
      <c r="N739" s="19"/>
      <c r="O739" s="19" t="s">
        <v>3517</v>
      </c>
    </row>
    <row r="740" customFormat="false" ht="22.35" hidden="false" customHeight="false" outlineLevel="0" collapsed="false">
      <c r="A740" s="19" t="s">
        <v>3789</v>
      </c>
      <c r="B740" s="19" t="s">
        <v>510</v>
      </c>
      <c r="C740" s="19" t="str">
        <f aca="false">IFERROR(INDEX('Agent Roster'!$B:$B,MATCH(B740,'Agent Roster'!$A:$A,0)),"UNASSIGNED")</f>
        <v>Lead Capture, Tagging &amp; Channel ROI Agent</v>
      </c>
      <c r="D740" s="19" t="str">
        <f aca="false">IFERROR(INDEX('Agent Roster'!$D:$D,MATCH(B740,'Agent Roster'!$A:$A,0)),"UNASSIGNED")</f>
        <v>2 · Marketing Hub</v>
      </c>
      <c r="E740" s="19" t="s">
        <v>3790</v>
      </c>
      <c r="F740" s="19" t="s">
        <v>3791</v>
      </c>
      <c r="G740" s="19" t="s">
        <v>3513</v>
      </c>
      <c r="H740" s="19" t="s">
        <v>3778</v>
      </c>
      <c r="I740" s="19" t="s">
        <v>497</v>
      </c>
      <c r="J740" s="19" t="s">
        <v>1068</v>
      </c>
      <c r="K740" s="19" t="s">
        <v>3779</v>
      </c>
      <c r="L740" s="19" t="s">
        <v>51</v>
      </c>
      <c r="M740" s="19" t="s">
        <v>587</v>
      </c>
      <c r="N740" s="19" t="s">
        <v>3792</v>
      </c>
      <c r="O740" s="19" t="s">
        <v>3517</v>
      </c>
    </row>
    <row r="741" customFormat="false" ht="22.35" hidden="false" customHeight="false" outlineLevel="0" collapsed="false">
      <c r="A741" s="19" t="s">
        <v>3793</v>
      </c>
      <c r="B741" s="19" t="s">
        <v>476</v>
      </c>
      <c r="C741" s="19" t="str">
        <f aca="false">IFERROR(INDEX('Agent Roster'!$B:$B,MATCH(B741,'Agent Roster'!$A:$A,0)),"UNASSIGNED")</f>
        <v>Marketing Hub Lead (ACE Acquisition owner)</v>
      </c>
      <c r="D741" s="19" t="str">
        <f aca="false">IFERROR(INDEX('Agent Roster'!$D:$D,MATCH(B741,'Agent Roster'!$A:$A,0)),"UNASSIGNED")</f>
        <v>2 · Marketing Hub</v>
      </c>
      <c r="E741" s="19" t="s">
        <v>3794</v>
      </c>
      <c r="F741" s="19" t="s">
        <v>3795</v>
      </c>
      <c r="G741" s="19" t="s">
        <v>3513</v>
      </c>
      <c r="H741" s="19" t="s">
        <v>3778</v>
      </c>
      <c r="I741" s="19" t="s">
        <v>497</v>
      </c>
      <c r="J741" s="19" t="s">
        <v>1068</v>
      </c>
      <c r="K741" s="19" t="s">
        <v>3779</v>
      </c>
      <c r="L741" s="19" t="s">
        <v>51</v>
      </c>
      <c r="M741" s="19" t="s">
        <v>587</v>
      </c>
      <c r="N741" s="19"/>
      <c r="O741" s="19" t="s">
        <v>3517</v>
      </c>
    </row>
    <row r="742" customFormat="false" ht="22.35" hidden="false" customHeight="false" outlineLevel="0" collapsed="false">
      <c r="A742" s="19" t="s">
        <v>3796</v>
      </c>
      <c r="B742" s="19" t="s">
        <v>510</v>
      </c>
      <c r="C742" s="19" t="str">
        <f aca="false">IFERROR(INDEX('Agent Roster'!$B:$B,MATCH(B742,'Agent Roster'!$A:$A,0)),"UNASSIGNED")</f>
        <v>Lead Capture, Tagging &amp; Channel ROI Agent</v>
      </c>
      <c r="D742" s="19" t="str">
        <f aca="false">IFERROR(INDEX('Agent Roster'!$D:$D,MATCH(B742,'Agent Roster'!$A:$A,0)),"UNASSIGNED")</f>
        <v>2 · Marketing Hub</v>
      </c>
      <c r="E742" s="19" t="s">
        <v>3797</v>
      </c>
      <c r="F742" s="19" t="s">
        <v>3798</v>
      </c>
      <c r="G742" s="19" t="s">
        <v>3513</v>
      </c>
      <c r="H742" s="19" t="s">
        <v>3799</v>
      </c>
      <c r="I742" s="19" t="s">
        <v>606</v>
      </c>
      <c r="J742" s="19" t="s">
        <v>1839</v>
      </c>
      <c r="K742" s="19" t="s">
        <v>3800</v>
      </c>
      <c r="L742" s="19" t="s">
        <v>3801</v>
      </c>
      <c r="M742" s="19" t="s">
        <v>587</v>
      </c>
      <c r="N742" s="19"/>
      <c r="O742" s="19" t="s">
        <v>3517</v>
      </c>
    </row>
    <row r="743" customFormat="false" ht="22.35" hidden="false" customHeight="false" outlineLevel="0" collapsed="false">
      <c r="A743" s="19" t="s">
        <v>3802</v>
      </c>
      <c r="B743" s="19" t="s">
        <v>565</v>
      </c>
      <c r="C743" s="19" t="str">
        <f aca="false">IFERROR(INDEX('Agent Roster'!$B:$B,MATCH(B743,'Agent Roster'!$A:$A,0)),"UNASSIGNED")</f>
        <v>Instant Response Agent</v>
      </c>
      <c r="D743" s="19" t="str">
        <f aca="false">IFERROR(INDEX('Agent Roster'!$D:$D,MATCH(B743,'Agent Roster'!$A:$A,0)),"UNASSIGNED")</f>
        <v>3 · Sales Hub</v>
      </c>
      <c r="E743" s="19" t="s">
        <v>3803</v>
      </c>
      <c r="F743" s="19" t="s">
        <v>3804</v>
      </c>
      <c r="G743" s="19" t="s">
        <v>3513</v>
      </c>
      <c r="H743" s="19" t="s">
        <v>3799</v>
      </c>
      <c r="I743" s="19" t="s">
        <v>606</v>
      </c>
      <c r="J743" s="19" t="s">
        <v>1839</v>
      </c>
      <c r="K743" s="19" t="s">
        <v>3800</v>
      </c>
      <c r="L743" s="19" t="s">
        <v>3801</v>
      </c>
      <c r="M743" s="19" t="s">
        <v>587</v>
      </c>
      <c r="N743" s="19"/>
      <c r="O743" s="19" t="s">
        <v>3517</v>
      </c>
    </row>
    <row r="744" customFormat="false" ht="22.35" hidden="false" customHeight="false" outlineLevel="0" collapsed="false">
      <c r="A744" s="19" t="s">
        <v>3805</v>
      </c>
      <c r="B744" s="19" t="s">
        <v>571</v>
      </c>
      <c r="C744" s="19" t="str">
        <f aca="false">IFERROR(INDEX('Agent Roster'!$B:$B,MATCH(B744,'Agent Roster'!$A:$A,0)),"UNASSIGNED")</f>
        <v>Lead Qualification Agent</v>
      </c>
      <c r="D744" s="19" t="str">
        <f aca="false">IFERROR(INDEX('Agent Roster'!$D:$D,MATCH(B744,'Agent Roster'!$A:$A,0)),"UNASSIGNED")</f>
        <v>3 · Sales Hub</v>
      </c>
      <c r="E744" s="19" t="s">
        <v>3806</v>
      </c>
      <c r="F744" s="19" t="s">
        <v>3807</v>
      </c>
      <c r="G744" s="19" t="s">
        <v>3513</v>
      </c>
      <c r="H744" s="19" t="s">
        <v>3799</v>
      </c>
      <c r="I744" s="19" t="s">
        <v>606</v>
      </c>
      <c r="J744" s="19" t="s">
        <v>1839</v>
      </c>
      <c r="K744" s="19" t="s">
        <v>3800</v>
      </c>
      <c r="L744" s="19" t="s">
        <v>3801</v>
      </c>
      <c r="M744" s="19" t="s">
        <v>587</v>
      </c>
      <c r="N744" s="19"/>
      <c r="O744" s="19" t="s">
        <v>3517</v>
      </c>
    </row>
    <row r="745" customFormat="false" ht="22.35" hidden="false" customHeight="false" outlineLevel="0" collapsed="false">
      <c r="A745" s="19" t="s">
        <v>3808</v>
      </c>
      <c r="B745" s="19" t="s">
        <v>581</v>
      </c>
      <c r="C745" s="19" t="str">
        <f aca="false">IFERROR(INDEX('Agent Roster'!$B:$B,MATCH(B745,'Agent Roster'!$A:$A,0)),"UNASSIGNED")</f>
        <v>Appointment &amp; Show-Rate Agent</v>
      </c>
      <c r="D745" s="19" t="str">
        <f aca="false">IFERROR(INDEX('Agent Roster'!$D:$D,MATCH(B745,'Agent Roster'!$A:$A,0)),"UNASSIGNED")</f>
        <v>3 · Sales Hub</v>
      </c>
      <c r="E745" s="19" t="s">
        <v>3809</v>
      </c>
      <c r="F745" s="19" t="s">
        <v>3810</v>
      </c>
      <c r="G745" s="19" t="s">
        <v>3513</v>
      </c>
      <c r="H745" s="19" t="s">
        <v>3799</v>
      </c>
      <c r="I745" s="19" t="s">
        <v>606</v>
      </c>
      <c r="J745" s="19" t="s">
        <v>1839</v>
      </c>
      <c r="K745" s="19" t="s">
        <v>3800</v>
      </c>
      <c r="L745" s="19" t="s">
        <v>3801</v>
      </c>
      <c r="M745" s="19" t="s">
        <v>587</v>
      </c>
      <c r="N745" s="19"/>
      <c r="O745" s="19" t="s">
        <v>3517</v>
      </c>
    </row>
    <row r="746" customFormat="false" ht="22.35" hidden="false" customHeight="false" outlineLevel="0" collapsed="false">
      <c r="A746" s="19" t="s">
        <v>3811</v>
      </c>
      <c r="B746" s="19" t="s">
        <v>581</v>
      </c>
      <c r="C746" s="19" t="str">
        <f aca="false">IFERROR(INDEX('Agent Roster'!$B:$B,MATCH(B746,'Agent Roster'!$A:$A,0)),"UNASSIGNED")</f>
        <v>Appointment &amp; Show-Rate Agent</v>
      </c>
      <c r="D746" s="19" t="str">
        <f aca="false">IFERROR(INDEX('Agent Roster'!$D:$D,MATCH(B746,'Agent Roster'!$A:$A,0)),"UNASSIGNED")</f>
        <v>3 · Sales Hub</v>
      </c>
      <c r="E746" s="19" t="s">
        <v>3812</v>
      </c>
      <c r="F746" s="19" t="s">
        <v>3813</v>
      </c>
      <c r="G746" s="19" t="s">
        <v>3513</v>
      </c>
      <c r="H746" s="19" t="s">
        <v>3799</v>
      </c>
      <c r="I746" s="19" t="s">
        <v>606</v>
      </c>
      <c r="J746" s="19" t="s">
        <v>1839</v>
      </c>
      <c r="K746" s="19" t="s">
        <v>3800</v>
      </c>
      <c r="L746" s="19" t="s">
        <v>3801</v>
      </c>
      <c r="M746" s="19" t="s">
        <v>587</v>
      </c>
      <c r="N746" s="19"/>
      <c r="O746" s="19" t="s">
        <v>3517</v>
      </c>
    </row>
    <row r="747" customFormat="false" ht="22.35" hidden="false" customHeight="false" outlineLevel="0" collapsed="false">
      <c r="A747" s="19" t="s">
        <v>3814</v>
      </c>
      <c r="B747" s="19" t="s">
        <v>642</v>
      </c>
      <c r="C747" s="19" t="str">
        <f aca="false">IFERROR(INDEX('Agent Roster'!$B:$B,MATCH(B747,'Agent Roster'!$A:$A,0)),"UNASSIGNED")</f>
        <v>Proposal &amp; Contract Generator</v>
      </c>
      <c r="D747" s="19" t="str">
        <f aca="false">IFERROR(INDEX('Agent Roster'!$D:$D,MATCH(B747,'Agent Roster'!$A:$A,0)),"UNASSIGNED")</f>
        <v>3 · Sales Hub</v>
      </c>
      <c r="E747" s="19" t="s">
        <v>3815</v>
      </c>
      <c r="F747" s="19" t="s">
        <v>3816</v>
      </c>
      <c r="G747" s="19" t="s">
        <v>3513</v>
      </c>
      <c r="H747" s="19" t="s">
        <v>3799</v>
      </c>
      <c r="I747" s="19" t="s">
        <v>606</v>
      </c>
      <c r="J747" s="19" t="s">
        <v>1839</v>
      </c>
      <c r="K747" s="19" t="s">
        <v>3800</v>
      </c>
      <c r="L747" s="19" t="s">
        <v>3801</v>
      </c>
      <c r="M747" s="19" t="s">
        <v>587</v>
      </c>
      <c r="N747" s="19"/>
      <c r="O747" s="19" t="s">
        <v>3517</v>
      </c>
    </row>
    <row r="748" customFormat="false" ht="22.35" hidden="false" customHeight="false" outlineLevel="0" collapsed="false">
      <c r="A748" s="19" t="s">
        <v>3817</v>
      </c>
      <c r="B748" s="19" t="s">
        <v>675</v>
      </c>
      <c r="C748" s="19" t="str">
        <f aca="false">IFERROR(INDEX('Agent Roster'!$B:$B,MATCH(B748,'Agent Roster'!$A:$A,0)),"UNASSIGNED")</f>
        <v>Sales-to-Onboarding Handoff Agent</v>
      </c>
      <c r="D748" s="19" t="str">
        <f aca="false">IFERROR(INDEX('Agent Roster'!$D:$D,MATCH(B748,'Agent Roster'!$A:$A,0)),"UNASSIGNED")</f>
        <v>3 · Sales Hub</v>
      </c>
      <c r="E748" s="19" t="s">
        <v>3818</v>
      </c>
      <c r="F748" s="19" t="s">
        <v>3819</v>
      </c>
      <c r="G748" s="19" t="s">
        <v>3513</v>
      </c>
      <c r="H748" s="19" t="s">
        <v>3799</v>
      </c>
      <c r="I748" s="19" t="s">
        <v>606</v>
      </c>
      <c r="J748" s="19" t="s">
        <v>1839</v>
      </c>
      <c r="K748" s="19" t="s">
        <v>3800</v>
      </c>
      <c r="L748" s="19" t="s">
        <v>3801</v>
      </c>
      <c r="M748" s="19" t="s">
        <v>587</v>
      </c>
      <c r="N748" s="19"/>
      <c r="O748" s="19" t="s">
        <v>3517</v>
      </c>
    </row>
    <row r="749" customFormat="false" ht="22.35" hidden="false" customHeight="false" outlineLevel="0" collapsed="false">
      <c r="A749" s="19" t="s">
        <v>3820</v>
      </c>
      <c r="B749" s="19" t="s">
        <v>251</v>
      </c>
      <c r="C749" s="19" t="str">
        <f aca="false">IFERROR(INDEX('Agent Roster'!$B:$B,MATCH(B749,'Agent Roster'!$A:$A,0)),"UNASSIGNED")</f>
        <v>Capsule Integrator (Layer I.G post-mortems)</v>
      </c>
      <c r="D749" s="19" t="str">
        <f aca="false">IFERROR(INDEX('Agent Roster'!$D:$D,MATCH(B749,'Agent Roster'!$A:$A,0)),"UNASSIGNED")</f>
        <v>Orchestration &amp; Diagnostics</v>
      </c>
      <c r="E749" s="19" t="s">
        <v>3821</v>
      </c>
      <c r="F749" s="19" t="s">
        <v>3822</v>
      </c>
      <c r="G749" s="19" t="s">
        <v>3513</v>
      </c>
      <c r="H749" s="19" t="s">
        <v>3799</v>
      </c>
      <c r="I749" s="19" t="s">
        <v>606</v>
      </c>
      <c r="J749" s="19" t="s">
        <v>1839</v>
      </c>
      <c r="K749" s="19" t="s">
        <v>3800</v>
      </c>
      <c r="L749" s="19" t="s">
        <v>3801</v>
      </c>
      <c r="M749" s="19" t="s">
        <v>587</v>
      </c>
      <c r="N749" s="19"/>
      <c r="O749" s="19" t="s">
        <v>3517</v>
      </c>
    </row>
    <row r="750" customFormat="false" ht="15" hidden="false" customHeight="false" outlineLevel="0" collapsed="false">
      <c r="A750" s="19" t="s">
        <v>3823</v>
      </c>
      <c r="B750" s="19" t="s">
        <v>603</v>
      </c>
      <c r="C750" s="19" t="str">
        <f aca="false">IFERROR(INDEX('Agent Roster'!$B:$B,MATCH(B750,'Agent Roster'!$A:$A,0)),"UNASSIGNED")</f>
        <v>Sales Call Copilot (7-Step Script)</v>
      </c>
      <c r="D750" s="19" t="str">
        <f aca="false">IFERROR(INDEX('Agent Roster'!$D:$D,MATCH(B750,'Agent Roster'!$A:$A,0)),"UNASSIGNED")</f>
        <v>3 · Sales Hub</v>
      </c>
      <c r="E750" s="19" t="s">
        <v>3824</v>
      </c>
      <c r="F750" s="19" t="s">
        <v>3825</v>
      </c>
      <c r="G750" s="19" t="s">
        <v>3513</v>
      </c>
      <c r="H750" s="19" t="s">
        <v>3826</v>
      </c>
      <c r="I750" s="19" t="s">
        <v>3827</v>
      </c>
      <c r="J750" s="19" t="s">
        <v>3828</v>
      </c>
      <c r="K750" s="19" t="s">
        <v>3829</v>
      </c>
      <c r="L750" s="19" t="s">
        <v>51</v>
      </c>
      <c r="M750" s="19" t="s">
        <v>675</v>
      </c>
      <c r="N750" s="19" t="s">
        <v>3830</v>
      </c>
      <c r="O750" s="19" t="s">
        <v>3517</v>
      </c>
    </row>
    <row r="751" customFormat="false" ht="15" hidden="false" customHeight="false" outlineLevel="0" collapsed="false">
      <c r="A751" s="19" t="s">
        <v>3831</v>
      </c>
      <c r="B751" s="19" t="s">
        <v>653</v>
      </c>
      <c r="C751" s="19" t="str">
        <f aca="false">IFERROR(INDEX('Agent Roster'!$B:$B,MATCH(B751,'Agent Roster'!$A:$A,0)),"UNASSIGNED")</f>
        <v>Call QA Agent</v>
      </c>
      <c r="D751" s="19" t="str">
        <f aca="false">IFERROR(INDEX('Agent Roster'!$D:$D,MATCH(B751,'Agent Roster'!$A:$A,0)),"UNASSIGNED")</f>
        <v>3 · Sales Hub</v>
      </c>
      <c r="E751" s="19" t="s">
        <v>3832</v>
      </c>
      <c r="F751" s="19" t="s">
        <v>3833</v>
      </c>
      <c r="G751" s="19" t="s">
        <v>3513</v>
      </c>
      <c r="H751" s="19" t="s">
        <v>3826</v>
      </c>
      <c r="I751" s="19" t="s">
        <v>3827</v>
      </c>
      <c r="J751" s="19" t="s">
        <v>3828</v>
      </c>
      <c r="K751" s="19" t="s">
        <v>3829</v>
      </c>
      <c r="L751" s="19" t="s">
        <v>51</v>
      </c>
      <c r="M751" s="19" t="s">
        <v>675</v>
      </c>
      <c r="N751" s="19"/>
      <c r="O751" s="19" t="s">
        <v>3517</v>
      </c>
    </row>
    <row r="752" customFormat="false" ht="15" hidden="false" customHeight="false" outlineLevel="0" collapsed="false">
      <c r="A752" s="19" t="s">
        <v>3834</v>
      </c>
      <c r="B752" s="19" t="s">
        <v>642</v>
      </c>
      <c r="C752" s="19" t="str">
        <f aca="false">IFERROR(INDEX('Agent Roster'!$B:$B,MATCH(B752,'Agent Roster'!$A:$A,0)),"UNASSIGNED")</f>
        <v>Proposal &amp; Contract Generator</v>
      </c>
      <c r="D752" s="19" t="str">
        <f aca="false">IFERROR(INDEX('Agent Roster'!$D:$D,MATCH(B752,'Agent Roster'!$A:$A,0)),"UNASSIGNED")</f>
        <v>3 · Sales Hub</v>
      </c>
      <c r="E752" s="19" t="s">
        <v>3835</v>
      </c>
      <c r="F752" s="19" t="s">
        <v>3836</v>
      </c>
      <c r="G752" s="19" t="s">
        <v>3513</v>
      </c>
      <c r="H752" s="19" t="s">
        <v>3826</v>
      </c>
      <c r="I752" s="19" t="s">
        <v>3827</v>
      </c>
      <c r="J752" s="19" t="s">
        <v>3828</v>
      </c>
      <c r="K752" s="19" t="s">
        <v>3829</v>
      </c>
      <c r="L752" s="19" t="s">
        <v>51</v>
      </c>
      <c r="M752" s="19" t="s">
        <v>675</v>
      </c>
      <c r="N752" s="19"/>
      <c r="O752" s="19" t="s">
        <v>3517</v>
      </c>
    </row>
    <row r="753" customFormat="false" ht="15" hidden="false" customHeight="false" outlineLevel="0" collapsed="false">
      <c r="A753" s="19" t="s">
        <v>3837</v>
      </c>
      <c r="B753" s="19" t="s">
        <v>630</v>
      </c>
      <c r="C753" s="19" t="str">
        <f aca="false">IFERROR(INDEX('Agent Roster'!$B:$B,MATCH(B753,'Agent Roster'!$A:$A,0)),"UNASSIGNED")</f>
        <v>Offer Architect</v>
      </c>
      <c r="D753" s="19" t="str">
        <f aca="false">IFERROR(INDEX('Agent Roster'!$D:$D,MATCH(B753,'Agent Roster'!$A:$A,0)),"UNASSIGNED")</f>
        <v>3 · Sales Hub</v>
      </c>
      <c r="E753" s="19" t="s">
        <v>3838</v>
      </c>
      <c r="F753" s="19" t="s">
        <v>3839</v>
      </c>
      <c r="G753" s="19" t="s">
        <v>3513</v>
      </c>
      <c r="H753" s="19" t="s">
        <v>3826</v>
      </c>
      <c r="I753" s="19" t="s">
        <v>3827</v>
      </c>
      <c r="J753" s="19" t="s">
        <v>3828</v>
      </c>
      <c r="K753" s="19" t="s">
        <v>3829</v>
      </c>
      <c r="L753" s="19" t="s">
        <v>51</v>
      </c>
      <c r="M753" s="19" t="s">
        <v>675</v>
      </c>
      <c r="N753" s="19"/>
      <c r="O753" s="19" t="s">
        <v>3517</v>
      </c>
    </row>
    <row r="754" customFormat="false" ht="15" hidden="false" customHeight="false" outlineLevel="0" collapsed="false">
      <c r="A754" s="19" t="s">
        <v>3840</v>
      </c>
      <c r="B754" s="19" t="s">
        <v>603</v>
      </c>
      <c r="C754" s="19" t="str">
        <f aca="false">IFERROR(INDEX('Agent Roster'!$B:$B,MATCH(B754,'Agent Roster'!$A:$A,0)),"UNASSIGNED")</f>
        <v>Sales Call Copilot (7-Step Script)</v>
      </c>
      <c r="D754" s="19" t="str">
        <f aca="false">IFERROR(INDEX('Agent Roster'!$D:$D,MATCH(B754,'Agent Roster'!$A:$A,0)),"UNASSIGNED")</f>
        <v>3 · Sales Hub</v>
      </c>
      <c r="E754" s="19" t="s">
        <v>3841</v>
      </c>
      <c r="F754" s="19" t="s">
        <v>3842</v>
      </c>
      <c r="G754" s="19" t="s">
        <v>3513</v>
      </c>
      <c r="H754" s="19" t="s">
        <v>3826</v>
      </c>
      <c r="I754" s="19" t="s">
        <v>3827</v>
      </c>
      <c r="J754" s="19" t="s">
        <v>3828</v>
      </c>
      <c r="K754" s="19" t="s">
        <v>3829</v>
      </c>
      <c r="L754" s="19" t="s">
        <v>51</v>
      </c>
      <c r="M754" s="19" t="s">
        <v>675</v>
      </c>
      <c r="N754" s="19" t="s">
        <v>3830</v>
      </c>
      <c r="O754" s="19" t="s">
        <v>3517</v>
      </c>
    </row>
    <row r="755" customFormat="false" ht="22.35" hidden="false" customHeight="false" outlineLevel="0" collapsed="false">
      <c r="A755" s="19" t="s">
        <v>3843</v>
      </c>
      <c r="B755" s="19" t="s">
        <v>557</v>
      </c>
      <c r="C755" s="19" t="str">
        <f aca="false">IFERROR(INDEX('Agent Roster'!$B:$B,MATCH(B755,'Agent Roster'!$A:$A,0)),"UNASSIGNED")</f>
        <v>Sales Hub Lead (ACE Creation owner)</v>
      </c>
      <c r="D755" s="19" t="str">
        <f aca="false">IFERROR(INDEX('Agent Roster'!$D:$D,MATCH(B755,'Agent Roster'!$A:$A,0)),"UNASSIGNED")</f>
        <v>3 · Sales Hub</v>
      </c>
      <c r="E755" s="19" t="s">
        <v>3844</v>
      </c>
      <c r="F755" s="19" t="s">
        <v>3845</v>
      </c>
      <c r="G755" s="19" t="s">
        <v>3513</v>
      </c>
      <c r="H755" s="19" t="s">
        <v>3826</v>
      </c>
      <c r="I755" s="19" t="s">
        <v>3827</v>
      </c>
      <c r="J755" s="19" t="s">
        <v>3828</v>
      </c>
      <c r="K755" s="19" t="s">
        <v>3829</v>
      </c>
      <c r="L755" s="19" t="s">
        <v>51</v>
      </c>
      <c r="M755" s="19" t="s">
        <v>675</v>
      </c>
      <c r="N755" s="19" t="s">
        <v>3830</v>
      </c>
      <c r="O755" s="19" t="s">
        <v>3517</v>
      </c>
    </row>
    <row r="756" customFormat="false" ht="15" hidden="false" customHeight="false" outlineLevel="0" collapsed="false">
      <c r="A756" s="19" t="s">
        <v>3846</v>
      </c>
      <c r="B756" s="19" t="s">
        <v>630</v>
      </c>
      <c r="C756" s="19" t="str">
        <f aca="false">IFERROR(INDEX('Agent Roster'!$B:$B,MATCH(B756,'Agent Roster'!$A:$A,0)),"UNASSIGNED")</f>
        <v>Offer Architect</v>
      </c>
      <c r="D756" s="19" t="str">
        <f aca="false">IFERROR(INDEX('Agent Roster'!$D:$D,MATCH(B756,'Agent Roster'!$A:$A,0)),"UNASSIGNED")</f>
        <v>3 · Sales Hub</v>
      </c>
      <c r="E756" s="19" t="s">
        <v>3847</v>
      </c>
      <c r="F756" s="19" t="s">
        <v>3848</v>
      </c>
      <c r="G756" s="19" t="s">
        <v>3513</v>
      </c>
      <c r="H756" s="19" t="s">
        <v>3849</v>
      </c>
      <c r="I756" s="19" t="s">
        <v>3850</v>
      </c>
      <c r="J756" s="19" t="s">
        <v>2275</v>
      </c>
      <c r="K756" s="19" t="s">
        <v>51</v>
      </c>
      <c r="L756" s="19" t="s">
        <v>3851</v>
      </c>
      <c r="M756" s="19" t="s">
        <v>828</v>
      </c>
      <c r="N756" s="19" t="s">
        <v>3852</v>
      </c>
      <c r="O756" s="19" t="s">
        <v>3517</v>
      </c>
    </row>
    <row r="757" customFormat="false" ht="15" hidden="false" customHeight="false" outlineLevel="0" collapsed="false">
      <c r="A757" s="19" t="s">
        <v>3853</v>
      </c>
      <c r="B757" s="19" t="s">
        <v>630</v>
      </c>
      <c r="C757" s="19" t="str">
        <f aca="false">IFERROR(INDEX('Agent Roster'!$B:$B,MATCH(B757,'Agent Roster'!$A:$A,0)),"UNASSIGNED")</f>
        <v>Offer Architect</v>
      </c>
      <c r="D757" s="19" t="str">
        <f aca="false">IFERROR(INDEX('Agent Roster'!$D:$D,MATCH(B757,'Agent Roster'!$A:$A,0)),"UNASSIGNED")</f>
        <v>3 · Sales Hub</v>
      </c>
      <c r="E757" s="19" t="s">
        <v>3854</v>
      </c>
      <c r="F757" s="19" t="s">
        <v>3855</v>
      </c>
      <c r="G757" s="19" t="s">
        <v>3513</v>
      </c>
      <c r="H757" s="19" t="s">
        <v>3849</v>
      </c>
      <c r="I757" s="19" t="s">
        <v>3850</v>
      </c>
      <c r="J757" s="19" t="s">
        <v>2275</v>
      </c>
      <c r="K757" s="19" t="s">
        <v>51</v>
      </c>
      <c r="L757" s="19" t="s">
        <v>3851</v>
      </c>
      <c r="M757" s="19" t="s">
        <v>828</v>
      </c>
      <c r="N757" s="19" t="s">
        <v>3852</v>
      </c>
      <c r="O757" s="19" t="s">
        <v>3517</v>
      </c>
    </row>
    <row r="758" customFormat="false" ht="22.35" hidden="false" customHeight="false" outlineLevel="0" collapsed="false">
      <c r="A758" s="19" t="s">
        <v>3856</v>
      </c>
      <c r="B758" s="19" t="s">
        <v>630</v>
      </c>
      <c r="C758" s="19" t="str">
        <f aca="false">IFERROR(INDEX('Agent Roster'!$B:$B,MATCH(B758,'Agent Roster'!$A:$A,0)),"UNASSIGNED")</f>
        <v>Offer Architect</v>
      </c>
      <c r="D758" s="19" t="str">
        <f aca="false">IFERROR(INDEX('Agent Roster'!$D:$D,MATCH(B758,'Agent Roster'!$A:$A,0)),"UNASSIGNED")</f>
        <v>3 · Sales Hub</v>
      </c>
      <c r="E758" s="19" t="s">
        <v>3857</v>
      </c>
      <c r="F758" s="19" t="s">
        <v>3858</v>
      </c>
      <c r="G758" s="19" t="s">
        <v>3513</v>
      </c>
      <c r="H758" s="19" t="s">
        <v>3849</v>
      </c>
      <c r="I758" s="19" t="s">
        <v>3850</v>
      </c>
      <c r="J758" s="19" t="s">
        <v>2275</v>
      </c>
      <c r="K758" s="19" t="s">
        <v>51</v>
      </c>
      <c r="L758" s="19" t="s">
        <v>3851</v>
      </c>
      <c r="M758" s="19" t="s">
        <v>828</v>
      </c>
      <c r="N758" s="19" t="s">
        <v>3852</v>
      </c>
      <c r="O758" s="19" t="s">
        <v>3517</v>
      </c>
    </row>
    <row r="759" customFormat="false" ht="32.8" hidden="false" customHeight="false" outlineLevel="0" collapsed="false">
      <c r="A759" s="19" t="s">
        <v>3859</v>
      </c>
      <c r="B759" s="19" t="s">
        <v>603</v>
      </c>
      <c r="C759" s="19" t="str">
        <f aca="false">IFERROR(INDEX('Agent Roster'!$B:$B,MATCH(B759,'Agent Roster'!$A:$A,0)),"UNASSIGNED")</f>
        <v>Sales Call Copilot (7-Step Script)</v>
      </c>
      <c r="D759" s="19" t="str">
        <f aca="false">IFERROR(INDEX('Agent Roster'!$D:$D,MATCH(B759,'Agent Roster'!$A:$A,0)),"UNASSIGNED")</f>
        <v>3 · Sales Hub</v>
      </c>
      <c r="E759" s="19" t="s">
        <v>3860</v>
      </c>
      <c r="F759" s="19" t="s">
        <v>3861</v>
      </c>
      <c r="G759" s="19" t="s">
        <v>3513</v>
      </c>
      <c r="H759" s="19" t="s">
        <v>3862</v>
      </c>
      <c r="I759" s="19" t="s">
        <v>3863</v>
      </c>
      <c r="J759" s="19" t="s">
        <v>3828</v>
      </c>
      <c r="K759" s="19" t="s">
        <v>3864</v>
      </c>
      <c r="L759" s="19" t="s">
        <v>3865</v>
      </c>
      <c r="M759" s="19" t="s">
        <v>3866</v>
      </c>
      <c r="N759" s="19" t="s">
        <v>3867</v>
      </c>
      <c r="O759" s="19" t="s">
        <v>3517</v>
      </c>
    </row>
    <row r="760" customFormat="false" ht="32.8" hidden="false" customHeight="false" outlineLevel="0" collapsed="false">
      <c r="A760" s="19" t="s">
        <v>3868</v>
      </c>
      <c r="B760" s="19" t="s">
        <v>603</v>
      </c>
      <c r="C760" s="19" t="str">
        <f aca="false">IFERROR(INDEX('Agent Roster'!$B:$B,MATCH(B760,'Agent Roster'!$A:$A,0)),"UNASSIGNED")</f>
        <v>Sales Call Copilot (7-Step Script)</v>
      </c>
      <c r="D760" s="19" t="str">
        <f aca="false">IFERROR(INDEX('Agent Roster'!$D:$D,MATCH(B760,'Agent Roster'!$A:$A,0)),"UNASSIGNED")</f>
        <v>3 · Sales Hub</v>
      </c>
      <c r="E760" s="19" t="s">
        <v>3869</v>
      </c>
      <c r="F760" s="19" t="s">
        <v>3870</v>
      </c>
      <c r="G760" s="19" t="s">
        <v>3513</v>
      </c>
      <c r="H760" s="19" t="s">
        <v>3862</v>
      </c>
      <c r="I760" s="19" t="s">
        <v>3863</v>
      </c>
      <c r="J760" s="19" t="s">
        <v>3828</v>
      </c>
      <c r="K760" s="19" t="s">
        <v>3864</v>
      </c>
      <c r="L760" s="19" t="s">
        <v>3865</v>
      </c>
      <c r="M760" s="19" t="s">
        <v>3866</v>
      </c>
      <c r="N760" s="19" t="s">
        <v>3867</v>
      </c>
      <c r="O760" s="19" t="s">
        <v>3517</v>
      </c>
    </row>
    <row r="761" customFormat="false" ht="32.8" hidden="false" customHeight="false" outlineLevel="0" collapsed="false">
      <c r="A761" s="19" t="s">
        <v>3871</v>
      </c>
      <c r="B761" s="19" t="s">
        <v>603</v>
      </c>
      <c r="C761" s="19" t="str">
        <f aca="false">IFERROR(INDEX('Agent Roster'!$B:$B,MATCH(B761,'Agent Roster'!$A:$A,0)),"UNASSIGNED")</f>
        <v>Sales Call Copilot (7-Step Script)</v>
      </c>
      <c r="D761" s="19" t="str">
        <f aca="false">IFERROR(INDEX('Agent Roster'!$D:$D,MATCH(B761,'Agent Roster'!$A:$A,0)),"UNASSIGNED")</f>
        <v>3 · Sales Hub</v>
      </c>
      <c r="E761" s="19" t="s">
        <v>3872</v>
      </c>
      <c r="F761" s="19" t="s">
        <v>3873</v>
      </c>
      <c r="G761" s="19" t="s">
        <v>3513</v>
      </c>
      <c r="H761" s="19" t="s">
        <v>3862</v>
      </c>
      <c r="I761" s="19" t="s">
        <v>3863</v>
      </c>
      <c r="J761" s="19" t="s">
        <v>3828</v>
      </c>
      <c r="K761" s="19" t="s">
        <v>3864</v>
      </c>
      <c r="L761" s="19" t="s">
        <v>3865</v>
      </c>
      <c r="M761" s="19" t="s">
        <v>3866</v>
      </c>
      <c r="N761" s="19" t="s">
        <v>3867</v>
      </c>
      <c r="O761" s="19" t="s">
        <v>3517</v>
      </c>
    </row>
    <row r="762" customFormat="false" ht="32.8" hidden="false" customHeight="false" outlineLevel="0" collapsed="false">
      <c r="A762" s="19" t="s">
        <v>3874</v>
      </c>
      <c r="B762" s="19" t="s">
        <v>603</v>
      </c>
      <c r="C762" s="19" t="str">
        <f aca="false">IFERROR(INDEX('Agent Roster'!$B:$B,MATCH(B762,'Agent Roster'!$A:$A,0)),"UNASSIGNED")</f>
        <v>Sales Call Copilot (7-Step Script)</v>
      </c>
      <c r="D762" s="19" t="str">
        <f aca="false">IFERROR(INDEX('Agent Roster'!$D:$D,MATCH(B762,'Agent Roster'!$A:$A,0)),"UNASSIGNED")</f>
        <v>3 · Sales Hub</v>
      </c>
      <c r="E762" s="19" t="s">
        <v>3875</v>
      </c>
      <c r="F762" s="19" t="s">
        <v>3876</v>
      </c>
      <c r="G762" s="19" t="s">
        <v>3513</v>
      </c>
      <c r="H762" s="19" t="s">
        <v>3862</v>
      </c>
      <c r="I762" s="19" t="s">
        <v>3863</v>
      </c>
      <c r="J762" s="19" t="s">
        <v>3828</v>
      </c>
      <c r="K762" s="19" t="s">
        <v>3864</v>
      </c>
      <c r="L762" s="19" t="s">
        <v>3865</v>
      </c>
      <c r="M762" s="19" t="s">
        <v>3866</v>
      </c>
      <c r="N762" s="19" t="s">
        <v>3867</v>
      </c>
      <c r="O762" s="19" t="s">
        <v>3517</v>
      </c>
    </row>
    <row r="763" customFormat="false" ht="32.8" hidden="false" customHeight="false" outlineLevel="0" collapsed="false">
      <c r="A763" s="19" t="s">
        <v>3877</v>
      </c>
      <c r="B763" s="19" t="s">
        <v>603</v>
      </c>
      <c r="C763" s="19" t="str">
        <f aca="false">IFERROR(INDEX('Agent Roster'!$B:$B,MATCH(B763,'Agent Roster'!$A:$A,0)),"UNASSIGNED")</f>
        <v>Sales Call Copilot (7-Step Script)</v>
      </c>
      <c r="D763" s="19" t="str">
        <f aca="false">IFERROR(INDEX('Agent Roster'!$D:$D,MATCH(B763,'Agent Roster'!$A:$A,0)),"UNASSIGNED")</f>
        <v>3 · Sales Hub</v>
      </c>
      <c r="E763" s="19" t="s">
        <v>3878</v>
      </c>
      <c r="F763" s="19" t="s">
        <v>3879</v>
      </c>
      <c r="G763" s="19" t="s">
        <v>3513</v>
      </c>
      <c r="H763" s="19" t="s">
        <v>3862</v>
      </c>
      <c r="I763" s="19" t="s">
        <v>3863</v>
      </c>
      <c r="J763" s="19" t="s">
        <v>3828</v>
      </c>
      <c r="K763" s="19" t="s">
        <v>3864</v>
      </c>
      <c r="L763" s="19" t="s">
        <v>3865</v>
      </c>
      <c r="M763" s="19" t="s">
        <v>3866</v>
      </c>
      <c r="N763" s="19" t="s">
        <v>3867</v>
      </c>
      <c r="O763" s="19" t="s">
        <v>3517</v>
      </c>
    </row>
    <row r="764" customFormat="false" ht="32.8" hidden="false" customHeight="false" outlineLevel="0" collapsed="false">
      <c r="A764" s="19" t="s">
        <v>3880</v>
      </c>
      <c r="B764" s="19" t="s">
        <v>603</v>
      </c>
      <c r="C764" s="19" t="str">
        <f aca="false">IFERROR(INDEX('Agent Roster'!$B:$B,MATCH(B764,'Agent Roster'!$A:$A,0)),"UNASSIGNED")</f>
        <v>Sales Call Copilot (7-Step Script)</v>
      </c>
      <c r="D764" s="19" t="str">
        <f aca="false">IFERROR(INDEX('Agent Roster'!$D:$D,MATCH(B764,'Agent Roster'!$A:$A,0)),"UNASSIGNED")</f>
        <v>3 · Sales Hub</v>
      </c>
      <c r="E764" s="19" t="s">
        <v>3881</v>
      </c>
      <c r="F764" s="19" t="s">
        <v>3882</v>
      </c>
      <c r="G764" s="19" t="s">
        <v>3513</v>
      </c>
      <c r="H764" s="19" t="s">
        <v>3862</v>
      </c>
      <c r="I764" s="19" t="s">
        <v>3863</v>
      </c>
      <c r="J764" s="19" t="s">
        <v>3828</v>
      </c>
      <c r="K764" s="19" t="s">
        <v>3864</v>
      </c>
      <c r="L764" s="19" t="s">
        <v>3865</v>
      </c>
      <c r="M764" s="19" t="s">
        <v>3866</v>
      </c>
      <c r="N764" s="19" t="s">
        <v>3867</v>
      </c>
      <c r="O764" s="19" t="s">
        <v>3517</v>
      </c>
    </row>
    <row r="765" customFormat="false" ht="32.8" hidden="false" customHeight="false" outlineLevel="0" collapsed="false">
      <c r="A765" s="19" t="s">
        <v>3883</v>
      </c>
      <c r="B765" s="19" t="s">
        <v>603</v>
      </c>
      <c r="C765" s="19" t="str">
        <f aca="false">IFERROR(INDEX('Agent Roster'!$B:$B,MATCH(B765,'Agent Roster'!$A:$A,0)),"UNASSIGNED")</f>
        <v>Sales Call Copilot (7-Step Script)</v>
      </c>
      <c r="D765" s="19" t="str">
        <f aca="false">IFERROR(INDEX('Agent Roster'!$D:$D,MATCH(B765,'Agent Roster'!$A:$A,0)),"UNASSIGNED")</f>
        <v>3 · Sales Hub</v>
      </c>
      <c r="E765" s="19" t="s">
        <v>3884</v>
      </c>
      <c r="F765" s="19" t="s">
        <v>3885</v>
      </c>
      <c r="G765" s="19" t="s">
        <v>3513</v>
      </c>
      <c r="H765" s="19" t="s">
        <v>3862</v>
      </c>
      <c r="I765" s="19" t="s">
        <v>3863</v>
      </c>
      <c r="J765" s="19" t="s">
        <v>3828</v>
      </c>
      <c r="K765" s="19" t="s">
        <v>3864</v>
      </c>
      <c r="L765" s="19" t="s">
        <v>3865</v>
      </c>
      <c r="M765" s="19" t="s">
        <v>3866</v>
      </c>
      <c r="N765" s="19" t="s">
        <v>3867</v>
      </c>
      <c r="O765" s="19" t="s">
        <v>3517</v>
      </c>
    </row>
    <row r="766" customFormat="false" ht="22.35" hidden="false" customHeight="false" outlineLevel="0" collapsed="false">
      <c r="A766" s="19" t="s">
        <v>3886</v>
      </c>
      <c r="B766" s="19" t="s">
        <v>618</v>
      </c>
      <c r="C766" s="19" t="str">
        <f aca="false">IFERROR(INDEX('Agent Roster'!$B:$B,MATCH(B766,'Agent Roster'!$A:$A,0)),"UNASSIGNED")</f>
        <v>Objection Handling Coach (I.A.C.E.)</v>
      </c>
      <c r="D766" s="19" t="str">
        <f aca="false">IFERROR(INDEX('Agent Roster'!$D:$D,MATCH(B766,'Agent Roster'!$A:$A,0)),"UNASSIGNED")</f>
        <v>3 · Sales Hub</v>
      </c>
      <c r="E766" s="19" t="s">
        <v>3887</v>
      </c>
      <c r="F766" s="19" t="s">
        <v>3888</v>
      </c>
      <c r="G766" s="19" t="s">
        <v>3513</v>
      </c>
      <c r="H766" s="19" t="s">
        <v>3889</v>
      </c>
      <c r="I766" s="19" t="s">
        <v>3890</v>
      </c>
      <c r="J766" s="19" t="s">
        <v>3891</v>
      </c>
      <c r="K766" s="19" t="s">
        <v>3892</v>
      </c>
      <c r="L766" s="19" t="s">
        <v>3893</v>
      </c>
      <c r="M766" s="19" t="s">
        <v>603</v>
      </c>
      <c r="N766" s="19" t="s">
        <v>3894</v>
      </c>
      <c r="O766" s="19" t="s">
        <v>3517</v>
      </c>
    </row>
    <row r="767" customFormat="false" ht="22.35" hidden="false" customHeight="false" outlineLevel="0" collapsed="false">
      <c r="A767" s="19" t="s">
        <v>3895</v>
      </c>
      <c r="B767" s="19" t="s">
        <v>618</v>
      </c>
      <c r="C767" s="19" t="str">
        <f aca="false">IFERROR(INDEX('Agent Roster'!$B:$B,MATCH(B767,'Agent Roster'!$A:$A,0)),"UNASSIGNED")</f>
        <v>Objection Handling Coach (I.A.C.E.)</v>
      </c>
      <c r="D767" s="19" t="str">
        <f aca="false">IFERROR(INDEX('Agent Roster'!$D:$D,MATCH(B767,'Agent Roster'!$A:$A,0)),"UNASSIGNED")</f>
        <v>3 · Sales Hub</v>
      </c>
      <c r="E767" s="19" t="s">
        <v>3896</v>
      </c>
      <c r="F767" s="19" t="s">
        <v>3897</v>
      </c>
      <c r="G767" s="19" t="s">
        <v>3513</v>
      </c>
      <c r="H767" s="19" t="s">
        <v>3889</v>
      </c>
      <c r="I767" s="19" t="s">
        <v>3890</v>
      </c>
      <c r="J767" s="19" t="s">
        <v>3891</v>
      </c>
      <c r="K767" s="19" t="s">
        <v>3892</v>
      </c>
      <c r="L767" s="19" t="s">
        <v>3893</v>
      </c>
      <c r="M767" s="19" t="s">
        <v>603</v>
      </c>
      <c r="N767" s="19" t="s">
        <v>3894</v>
      </c>
      <c r="O767" s="19" t="s">
        <v>3517</v>
      </c>
    </row>
    <row r="768" customFormat="false" ht="22.35" hidden="false" customHeight="false" outlineLevel="0" collapsed="false">
      <c r="A768" s="19" t="s">
        <v>3898</v>
      </c>
      <c r="B768" s="19" t="s">
        <v>618</v>
      </c>
      <c r="C768" s="19" t="str">
        <f aca="false">IFERROR(INDEX('Agent Roster'!$B:$B,MATCH(B768,'Agent Roster'!$A:$A,0)),"UNASSIGNED")</f>
        <v>Objection Handling Coach (I.A.C.E.)</v>
      </c>
      <c r="D768" s="19" t="str">
        <f aca="false">IFERROR(INDEX('Agent Roster'!$D:$D,MATCH(B768,'Agent Roster'!$A:$A,0)),"UNASSIGNED")</f>
        <v>3 · Sales Hub</v>
      </c>
      <c r="E768" s="19" t="s">
        <v>3899</v>
      </c>
      <c r="F768" s="19" t="s">
        <v>3900</v>
      </c>
      <c r="G768" s="19" t="s">
        <v>3513</v>
      </c>
      <c r="H768" s="19" t="s">
        <v>3889</v>
      </c>
      <c r="I768" s="19" t="s">
        <v>3890</v>
      </c>
      <c r="J768" s="19" t="s">
        <v>3891</v>
      </c>
      <c r="K768" s="19" t="s">
        <v>3892</v>
      </c>
      <c r="L768" s="19" t="s">
        <v>3893</v>
      </c>
      <c r="M768" s="19" t="s">
        <v>603</v>
      </c>
      <c r="N768" s="19" t="s">
        <v>3894</v>
      </c>
      <c r="O768" s="19" t="s">
        <v>3517</v>
      </c>
    </row>
    <row r="769" customFormat="false" ht="22.35" hidden="false" customHeight="false" outlineLevel="0" collapsed="false">
      <c r="A769" s="19" t="s">
        <v>3901</v>
      </c>
      <c r="B769" s="19" t="s">
        <v>618</v>
      </c>
      <c r="C769" s="19" t="str">
        <f aca="false">IFERROR(INDEX('Agent Roster'!$B:$B,MATCH(B769,'Agent Roster'!$A:$A,0)),"UNASSIGNED")</f>
        <v>Objection Handling Coach (I.A.C.E.)</v>
      </c>
      <c r="D769" s="19" t="str">
        <f aca="false">IFERROR(INDEX('Agent Roster'!$D:$D,MATCH(B769,'Agent Roster'!$A:$A,0)),"UNASSIGNED")</f>
        <v>3 · Sales Hub</v>
      </c>
      <c r="E769" s="19" t="s">
        <v>3902</v>
      </c>
      <c r="F769" s="19" t="s">
        <v>3903</v>
      </c>
      <c r="G769" s="19" t="s">
        <v>3513</v>
      </c>
      <c r="H769" s="19" t="s">
        <v>3889</v>
      </c>
      <c r="I769" s="19" t="s">
        <v>3890</v>
      </c>
      <c r="J769" s="19" t="s">
        <v>3891</v>
      </c>
      <c r="K769" s="19" t="s">
        <v>3892</v>
      </c>
      <c r="L769" s="19" t="s">
        <v>3893</v>
      </c>
      <c r="M769" s="19" t="s">
        <v>603</v>
      </c>
      <c r="N769" s="19" t="s">
        <v>3894</v>
      </c>
      <c r="O769" s="19" t="s">
        <v>3517</v>
      </c>
    </row>
    <row r="770" customFormat="false" ht="22.35" hidden="false" customHeight="false" outlineLevel="0" collapsed="false">
      <c r="A770" s="19" t="s">
        <v>3904</v>
      </c>
      <c r="B770" s="19" t="s">
        <v>1169</v>
      </c>
      <c r="C770" s="19" t="str">
        <f aca="false">IFERROR(INDEX('Agent Roster'!$B:$B,MATCH(B770,'Agent Roster'!$A:$A,0)),"UNASSIGNED")</f>
        <v>Expansion &amp; Referral Agent</v>
      </c>
      <c r="D770" s="19" t="str">
        <f aca="false">IFERROR(INDEX('Agent Roster'!$D:$D,MATCH(B770,'Agent Roster'!$A:$A,0)),"UNASSIGNED")</f>
        <v>8 · Client Success Hub</v>
      </c>
      <c r="E770" s="19" t="s">
        <v>3905</v>
      </c>
      <c r="F770" s="19" t="s">
        <v>3906</v>
      </c>
      <c r="G770" s="19" t="s">
        <v>3513</v>
      </c>
      <c r="H770" s="19" t="s">
        <v>3907</v>
      </c>
      <c r="I770" s="19" t="s">
        <v>3908</v>
      </c>
      <c r="J770" s="19" t="s">
        <v>3909</v>
      </c>
      <c r="K770" s="19" t="s">
        <v>51</v>
      </c>
      <c r="L770" s="19" t="s">
        <v>51</v>
      </c>
      <c r="M770" s="19" t="s">
        <v>1074</v>
      </c>
      <c r="N770" s="19"/>
      <c r="O770" s="19" t="s">
        <v>3517</v>
      </c>
    </row>
    <row r="771" customFormat="false" ht="22.35" hidden="false" customHeight="false" outlineLevel="0" collapsed="false">
      <c r="A771" s="19" t="s">
        <v>3910</v>
      </c>
      <c r="B771" s="19" t="s">
        <v>1135</v>
      </c>
      <c r="C771" s="19" t="str">
        <f aca="false">IFERROR(INDEX('Agent Roster'!$B:$B,MATCH(B771,'Agent Roster'!$A:$A,0)),"UNASSIGNED")</f>
        <v>Client BEAS &amp; Results Reporter</v>
      </c>
      <c r="D771" s="19" t="str">
        <f aca="false">IFERROR(INDEX('Agent Roster'!$D:$D,MATCH(B771,'Agent Roster'!$A:$A,0)),"UNASSIGNED")</f>
        <v>8 · Client Success Hub</v>
      </c>
      <c r="E771" s="19" t="s">
        <v>3911</v>
      </c>
      <c r="F771" s="19" t="s">
        <v>3912</v>
      </c>
      <c r="G771" s="19" t="s">
        <v>3513</v>
      </c>
      <c r="H771" s="19" t="s">
        <v>3907</v>
      </c>
      <c r="I771" s="19" t="s">
        <v>3908</v>
      </c>
      <c r="J771" s="19" t="s">
        <v>3909</v>
      </c>
      <c r="K771" s="19" t="s">
        <v>51</v>
      </c>
      <c r="L771" s="19" t="s">
        <v>51</v>
      </c>
      <c r="M771" s="19" t="s">
        <v>1074</v>
      </c>
      <c r="N771" s="19"/>
      <c r="O771" s="19" t="s">
        <v>3517</v>
      </c>
    </row>
    <row r="772" customFormat="false" ht="22.35" hidden="false" customHeight="false" outlineLevel="0" collapsed="false">
      <c r="A772" s="19" t="s">
        <v>3913</v>
      </c>
      <c r="B772" s="19" t="s">
        <v>1169</v>
      </c>
      <c r="C772" s="19" t="str">
        <f aca="false">IFERROR(INDEX('Agent Roster'!$B:$B,MATCH(B772,'Agent Roster'!$A:$A,0)),"UNASSIGNED")</f>
        <v>Expansion &amp; Referral Agent</v>
      </c>
      <c r="D772" s="19" t="str">
        <f aca="false">IFERROR(INDEX('Agent Roster'!$D:$D,MATCH(B772,'Agent Roster'!$A:$A,0)),"UNASSIGNED")</f>
        <v>8 · Client Success Hub</v>
      </c>
      <c r="E772" s="19" t="s">
        <v>3914</v>
      </c>
      <c r="F772" s="19" t="s">
        <v>3915</v>
      </c>
      <c r="G772" s="19" t="s">
        <v>3513</v>
      </c>
      <c r="H772" s="19" t="s">
        <v>3907</v>
      </c>
      <c r="I772" s="19" t="s">
        <v>3908</v>
      </c>
      <c r="J772" s="19" t="s">
        <v>3909</v>
      </c>
      <c r="K772" s="19" t="s">
        <v>51</v>
      </c>
      <c r="L772" s="19" t="s">
        <v>51</v>
      </c>
      <c r="M772" s="19" t="s">
        <v>1074</v>
      </c>
      <c r="N772" s="19"/>
      <c r="O772" s="19" t="s">
        <v>3517</v>
      </c>
    </row>
    <row r="773" customFormat="false" ht="22.35" hidden="false" customHeight="false" outlineLevel="0" collapsed="false">
      <c r="A773" s="19" t="s">
        <v>3916</v>
      </c>
      <c r="B773" s="19" t="s">
        <v>1157</v>
      </c>
      <c r="C773" s="19" t="str">
        <f aca="false">IFERROR(INDEX('Agent Roster'!$B:$B,MATCH(B773,'Agent Roster'!$A:$A,0)),"UNASSIGNED")</f>
        <v>Churn Prevention Agent</v>
      </c>
      <c r="D773" s="19" t="str">
        <f aca="false">IFERROR(INDEX('Agent Roster'!$D:$D,MATCH(B773,'Agent Roster'!$A:$A,0)),"UNASSIGNED")</f>
        <v>8 · Client Success Hub</v>
      </c>
      <c r="E773" s="19" t="s">
        <v>3917</v>
      </c>
      <c r="F773" s="19" t="s">
        <v>3918</v>
      </c>
      <c r="G773" s="19" t="s">
        <v>3513</v>
      </c>
      <c r="H773" s="19" t="s">
        <v>3907</v>
      </c>
      <c r="I773" s="19" t="s">
        <v>3908</v>
      </c>
      <c r="J773" s="19" t="s">
        <v>3909</v>
      </c>
      <c r="K773" s="19" t="s">
        <v>51</v>
      </c>
      <c r="L773" s="19" t="s">
        <v>51</v>
      </c>
      <c r="M773" s="19" t="s">
        <v>1074</v>
      </c>
      <c r="N773" s="19"/>
      <c r="O773" s="19" t="s">
        <v>3517</v>
      </c>
    </row>
    <row r="774" customFormat="false" ht="22.35" hidden="false" customHeight="false" outlineLevel="0" collapsed="false">
      <c r="A774" s="19" t="s">
        <v>3919</v>
      </c>
      <c r="B774" s="19" t="s">
        <v>1191</v>
      </c>
      <c r="C774" s="19" t="str">
        <f aca="false">IFERROR(INDEX('Agent Roster'!$B:$B,MATCH(B774,'Agent Roster'!$A:$A,0)),"UNASSIGNED")</f>
        <v>Community &amp; Movement Agent</v>
      </c>
      <c r="D774" s="19" t="str">
        <f aca="false">IFERROR(INDEX('Agent Roster'!$D:$D,MATCH(B774,'Agent Roster'!$A:$A,0)),"UNASSIGNED")</f>
        <v>8 · Client Success Hub</v>
      </c>
      <c r="E774" s="19" t="s">
        <v>3920</v>
      </c>
      <c r="F774" s="19" t="s">
        <v>3921</v>
      </c>
      <c r="G774" s="19" t="s">
        <v>3513</v>
      </c>
      <c r="H774" s="19" t="s">
        <v>3907</v>
      </c>
      <c r="I774" s="19" t="s">
        <v>3908</v>
      </c>
      <c r="J774" s="19" t="s">
        <v>3909</v>
      </c>
      <c r="K774" s="19" t="s">
        <v>51</v>
      </c>
      <c r="L774" s="19" t="s">
        <v>51</v>
      </c>
      <c r="M774" s="19" t="s">
        <v>1074</v>
      </c>
      <c r="N774" s="19"/>
      <c r="O774" s="19" t="s">
        <v>3517</v>
      </c>
    </row>
    <row r="775" customFormat="false" ht="22.35" hidden="false" customHeight="false" outlineLevel="0" collapsed="false">
      <c r="A775" s="19" t="s">
        <v>3922</v>
      </c>
      <c r="B775" s="19" t="s">
        <v>1135</v>
      </c>
      <c r="C775" s="19" t="str">
        <f aca="false">IFERROR(INDEX('Agent Roster'!$B:$B,MATCH(B775,'Agent Roster'!$A:$A,0)),"UNASSIGNED")</f>
        <v>Client BEAS &amp; Results Reporter</v>
      </c>
      <c r="D775" s="19" t="str">
        <f aca="false">IFERROR(INDEX('Agent Roster'!$D:$D,MATCH(B775,'Agent Roster'!$A:$A,0)),"UNASSIGNED")</f>
        <v>8 · Client Success Hub</v>
      </c>
      <c r="E775" s="19" t="s">
        <v>3923</v>
      </c>
      <c r="F775" s="19" t="s">
        <v>3924</v>
      </c>
      <c r="G775" s="19" t="s">
        <v>3513</v>
      </c>
      <c r="H775" s="19" t="s">
        <v>3907</v>
      </c>
      <c r="I775" s="19" t="s">
        <v>3908</v>
      </c>
      <c r="J775" s="19" t="s">
        <v>3909</v>
      </c>
      <c r="K775" s="19" t="s">
        <v>51</v>
      </c>
      <c r="L775" s="19" t="s">
        <v>51</v>
      </c>
      <c r="M775" s="19" t="s">
        <v>1074</v>
      </c>
      <c r="N775" s="19"/>
      <c r="O775" s="19" t="s">
        <v>3517</v>
      </c>
    </row>
    <row r="776" customFormat="false" ht="22.35" hidden="false" customHeight="false" outlineLevel="0" collapsed="false">
      <c r="A776" s="19" t="s">
        <v>3925</v>
      </c>
      <c r="B776" s="19" t="s">
        <v>1181</v>
      </c>
      <c r="C776" s="19" t="str">
        <f aca="false">IFERROR(INDEX('Agent Roster'!$B:$B,MATCH(B776,'Agent Roster'!$A:$A,0)),"UNASSIGNED")</f>
        <v>Quarterly Immersion Review Agent</v>
      </c>
      <c r="D776" s="19" t="str">
        <f aca="false">IFERROR(INDEX('Agent Roster'!$D:$D,MATCH(B776,'Agent Roster'!$A:$A,0)),"UNASSIGNED")</f>
        <v>8 · Client Success Hub</v>
      </c>
      <c r="E776" s="19" t="s">
        <v>3926</v>
      </c>
      <c r="F776" s="19" t="s">
        <v>3927</v>
      </c>
      <c r="G776" s="19" t="s">
        <v>3513</v>
      </c>
      <c r="H776" s="19" t="s">
        <v>3907</v>
      </c>
      <c r="I776" s="19" t="s">
        <v>3908</v>
      </c>
      <c r="J776" s="19" t="s">
        <v>3909</v>
      </c>
      <c r="K776" s="19" t="s">
        <v>51</v>
      </c>
      <c r="L776" s="19" t="s">
        <v>51</v>
      </c>
      <c r="M776" s="19" t="s">
        <v>1074</v>
      </c>
      <c r="N776" s="19"/>
      <c r="O776" s="19" t="s">
        <v>3517</v>
      </c>
    </row>
    <row r="777" customFormat="false" ht="22.35" hidden="false" customHeight="false" outlineLevel="0" collapsed="false">
      <c r="A777" s="19" t="s">
        <v>3928</v>
      </c>
      <c r="B777" s="19" t="s">
        <v>1135</v>
      </c>
      <c r="C777" s="19" t="str">
        <f aca="false">IFERROR(INDEX('Agent Roster'!$B:$B,MATCH(B777,'Agent Roster'!$A:$A,0)),"UNASSIGNED")</f>
        <v>Client BEAS &amp; Results Reporter</v>
      </c>
      <c r="D777" s="19" t="str">
        <f aca="false">IFERROR(INDEX('Agent Roster'!$D:$D,MATCH(B777,'Agent Roster'!$A:$A,0)),"UNASSIGNED")</f>
        <v>8 · Client Success Hub</v>
      </c>
      <c r="E777" s="19" t="s">
        <v>3929</v>
      </c>
      <c r="F777" s="19" t="s">
        <v>3930</v>
      </c>
      <c r="G777" s="19" t="s">
        <v>3513</v>
      </c>
      <c r="H777" s="19" t="s">
        <v>3907</v>
      </c>
      <c r="I777" s="19" t="s">
        <v>3908</v>
      </c>
      <c r="J777" s="19" t="s">
        <v>3909</v>
      </c>
      <c r="K777" s="19" t="s">
        <v>51</v>
      </c>
      <c r="L777" s="19" t="s">
        <v>51</v>
      </c>
      <c r="M777" s="19" t="s">
        <v>1074</v>
      </c>
      <c r="N777" s="19"/>
      <c r="O777" s="19" t="s">
        <v>3517</v>
      </c>
    </row>
    <row r="778" customFormat="false" ht="22.35" hidden="false" customHeight="false" outlineLevel="0" collapsed="false">
      <c r="A778" s="19" t="s">
        <v>3931</v>
      </c>
      <c r="B778" s="19" t="s">
        <v>1074</v>
      </c>
      <c r="C778" s="19" t="str">
        <f aca="false">IFERROR(INDEX('Agent Roster'!$B:$B,MATCH(B778,'Agent Roster'!$A:$A,0)),"UNASSIGNED")</f>
        <v>Client Success Hub Lead (ACE Expansion owner)</v>
      </c>
      <c r="D778" s="19" t="str">
        <f aca="false">IFERROR(INDEX('Agent Roster'!$D:$D,MATCH(B778,'Agent Roster'!$A:$A,0)),"UNASSIGNED")</f>
        <v>8 · Client Success Hub</v>
      </c>
      <c r="E778" s="19" t="s">
        <v>3932</v>
      </c>
      <c r="F778" s="19" t="s">
        <v>3933</v>
      </c>
      <c r="G778" s="19" t="s">
        <v>3513</v>
      </c>
      <c r="H778" s="19" t="s">
        <v>3907</v>
      </c>
      <c r="I778" s="19" t="s">
        <v>3908</v>
      </c>
      <c r="J778" s="19" t="s">
        <v>3909</v>
      </c>
      <c r="K778" s="19" t="s">
        <v>51</v>
      </c>
      <c r="L778" s="19" t="s">
        <v>51</v>
      </c>
      <c r="M778" s="19" t="s">
        <v>1074</v>
      </c>
      <c r="N778" s="19"/>
      <c r="O778" s="19" t="s">
        <v>3517</v>
      </c>
    </row>
    <row r="779" customFormat="false" ht="32.8" hidden="false" customHeight="false" outlineLevel="0" collapsed="false">
      <c r="A779" s="19" t="s">
        <v>3934</v>
      </c>
      <c r="B779" s="19" t="s">
        <v>716</v>
      </c>
      <c r="C779" s="19" t="str">
        <f aca="false">IFERROR(INDEX('Agent Roster'!$B:$B,MATCH(B779,'Agent Roster'!$A:$A,0)),"UNASSIGNED")</f>
        <v>Quality Control Agent (Correctness pillar)</v>
      </c>
      <c r="D779" s="19" t="str">
        <f aca="false">IFERROR(INDEX('Agent Roster'!$D:$D,MATCH(B779,'Agent Roster'!$A:$A,0)),"UNASSIGNED")</f>
        <v>4 · Operations Hub</v>
      </c>
      <c r="E779" s="19" t="s">
        <v>3935</v>
      </c>
      <c r="F779" s="19" t="s">
        <v>3936</v>
      </c>
      <c r="G779" s="19" t="s">
        <v>3513</v>
      </c>
      <c r="H779" s="19" t="s">
        <v>3937</v>
      </c>
      <c r="I779" s="19" t="s">
        <v>3938</v>
      </c>
      <c r="J779" s="19" t="s">
        <v>3939</v>
      </c>
      <c r="K779" s="19" t="s">
        <v>51</v>
      </c>
      <c r="L779" s="19" t="s">
        <v>3940</v>
      </c>
      <c r="M779" s="19" t="s">
        <v>187</v>
      </c>
      <c r="N779" s="19"/>
      <c r="O779" s="19" t="s">
        <v>3517</v>
      </c>
    </row>
    <row r="780" customFormat="false" ht="22.35" hidden="false" customHeight="false" outlineLevel="0" collapsed="false">
      <c r="A780" s="19" t="s">
        <v>3941</v>
      </c>
      <c r="B780" s="19" t="s">
        <v>1019</v>
      </c>
      <c r="C780" s="19" t="str">
        <f aca="false">IFERROR(INDEX('Agent Roster'!$B:$B,MATCH(B780,'Agent Roster'!$A:$A,0)),"UNASSIGNED")</f>
        <v>Integrations Agent</v>
      </c>
      <c r="D780" s="19" t="str">
        <f aca="false">IFERROR(INDEX('Agent Roster'!$D:$D,MATCH(B780,'Agent Roster'!$A:$A,0)),"UNASSIGNED")</f>
        <v>7 · Technology Hub</v>
      </c>
      <c r="E780" s="19" t="s">
        <v>3942</v>
      </c>
      <c r="F780" s="19" t="s">
        <v>3943</v>
      </c>
      <c r="G780" s="19" t="s">
        <v>3513</v>
      </c>
      <c r="H780" s="19" t="s">
        <v>3937</v>
      </c>
      <c r="I780" s="19" t="s">
        <v>3944</v>
      </c>
      <c r="J780" s="19" t="s">
        <v>3939</v>
      </c>
      <c r="K780" s="19" t="s">
        <v>51</v>
      </c>
      <c r="L780" s="19" t="s">
        <v>3940</v>
      </c>
      <c r="M780" s="19" t="s">
        <v>187</v>
      </c>
      <c r="N780" s="19"/>
      <c r="O780" s="19" t="s">
        <v>3517</v>
      </c>
    </row>
    <row r="781" customFormat="false" ht="22.35" hidden="false" customHeight="false" outlineLevel="0" collapsed="false">
      <c r="A781" s="19" t="s">
        <v>3945</v>
      </c>
      <c r="B781" s="19" t="s">
        <v>174</v>
      </c>
      <c r="C781" s="19" t="str">
        <f aca="false">IFERROR(INDEX('Agent Roster'!$B:$B,MATCH(B781,'Agent Roster'!$A:$A,0)),"UNASSIGNED")</f>
        <v>Shepherd's Way Cycle Controller (Layer VI)</v>
      </c>
      <c r="D781" s="19" t="str">
        <f aca="false">IFERROR(INDEX('Agent Roster'!$D:$D,MATCH(B781,'Agent Roster'!$A:$A,0)),"UNASSIGNED")</f>
        <v>Orchestration &amp; Diagnostics</v>
      </c>
      <c r="E781" s="19" t="s">
        <v>3946</v>
      </c>
      <c r="F781" s="19" t="s">
        <v>3947</v>
      </c>
      <c r="G781" s="19" t="s">
        <v>3513</v>
      </c>
      <c r="H781" s="19" t="s">
        <v>3937</v>
      </c>
      <c r="I781" s="19" t="s">
        <v>3948</v>
      </c>
      <c r="J781" s="19" t="s">
        <v>3939</v>
      </c>
      <c r="K781" s="19" t="s">
        <v>51</v>
      </c>
      <c r="L781" s="19" t="s">
        <v>3940</v>
      </c>
      <c r="M781" s="19" t="s">
        <v>187</v>
      </c>
      <c r="N781" s="19"/>
      <c r="O781" s="19" t="s">
        <v>3517</v>
      </c>
    </row>
    <row r="782" customFormat="false" ht="32.8" hidden="false" customHeight="false" outlineLevel="0" collapsed="false">
      <c r="A782" s="19" t="s">
        <v>3949</v>
      </c>
      <c r="B782" s="19" t="s">
        <v>452</v>
      </c>
      <c r="C782" s="19" t="str">
        <f aca="false">IFERROR(INDEX('Agent Roster'!$B:$B,MATCH(B782,'Agent Roster'!$A:$A,0)),"UNASSIGNED")</f>
        <v>Risk Manager</v>
      </c>
      <c r="D782" s="19" t="str">
        <f aca="false">IFERROR(INDEX('Agent Roster'!$D:$D,MATCH(B782,'Agent Roster'!$A:$A,0)),"UNASSIGNED")</f>
        <v>1 · Strategy Hub</v>
      </c>
      <c r="E782" s="19" t="s">
        <v>3950</v>
      </c>
      <c r="F782" s="19" t="s">
        <v>3951</v>
      </c>
      <c r="G782" s="19" t="s">
        <v>3513</v>
      </c>
      <c r="H782" s="19" t="s">
        <v>3937</v>
      </c>
      <c r="I782" s="19" t="s">
        <v>3952</v>
      </c>
      <c r="J782" s="19" t="s">
        <v>3939</v>
      </c>
      <c r="K782" s="19" t="s">
        <v>51</v>
      </c>
      <c r="L782" s="19" t="s">
        <v>3940</v>
      </c>
      <c r="M782" s="19" t="s">
        <v>187</v>
      </c>
      <c r="N782" s="19"/>
      <c r="O782" s="19" t="s">
        <v>3517</v>
      </c>
    </row>
    <row r="783" customFormat="false" ht="22.35" hidden="false" customHeight="false" outlineLevel="0" collapsed="false">
      <c r="A783" s="19" t="s">
        <v>3953</v>
      </c>
      <c r="B783" s="19" t="s">
        <v>187</v>
      </c>
      <c r="C783" s="19" t="str">
        <f aca="false">IFERROR(INDEX('Agent Roster'!$B:$B,MATCH(B783,'Agent Roster'!$A:$A,0)),"UNASSIGNED")</f>
        <v>BEAS Auditor (Layer V Garlick Equilibrium)</v>
      </c>
      <c r="D783" s="19" t="str">
        <f aca="false">IFERROR(INDEX('Agent Roster'!$D:$D,MATCH(B783,'Agent Roster'!$A:$A,0)),"UNASSIGNED")</f>
        <v>Orchestration &amp; Diagnostics</v>
      </c>
      <c r="E783" s="19" t="s">
        <v>3954</v>
      </c>
      <c r="F783" s="19" t="s">
        <v>3955</v>
      </c>
      <c r="G783" s="19" t="s">
        <v>3513</v>
      </c>
      <c r="H783" s="19" t="s">
        <v>3956</v>
      </c>
      <c r="I783" s="19" t="s">
        <v>3957</v>
      </c>
      <c r="J783" s="19" t="s">
        <v>1139</v>
      </c>
      <c r="K783" s="19" t="s">
        <v>3538</v>
      </c>
      <c r="L783" s="19" t="s">
        <v>51</v>
      </c>
      <c r="M783" s="19" t="s">
        <v>174</v>
      </c>
      <c r="N783" s="19"/>
      <c r="O783" s="19" t="s">
        <v>3517</v>
      </c>
    </row>
    <row r="784" customFormat="false" ht="22.35" hidden="false" customHeight="false" outlineLevel="0" collapsed="false">
      <c r="A784" s="19" t="s">
        <v>3958</v>
      </c>
      <c r="B784" s="19" t="s">
        <v>187</v>
      </c>
      <c r="C784" s="19" t="str">
        <f aca="false">IFERROR(INDEX('Agent Roster'!$B:$B,MATCH(B784,'Agent Roster'!$A:$A,0)),"UNASSIGNED")</f>
        <v>BEAS Auditor (Layer V Garlick Equilibrium)</v>
      </c>
      <c r="D784" s="19" t="str">
        <f aca="false">IFERROR(INDEX('Agent Roster'!$D:$D,MATCH(B784,'Agent Roster'!$A:$A,0)),"UNASSIGNED")</f>
        <v>Orchestration &amp; Diagnostics</v>
      </c>
      <c r="E784" s="19" t="s">
        <v>3959</v>
      </c>
      <c r="F784" s="19" t="s">
        <v>3960</v>
      </c>
      <c r="G784" s="19" t="s">
        <v>3513</v>
      </c>
      <c r="H784" s="19" t="s">
        <v>3956</v>
      </c>
      <c r="I784" s="19" t="s">
        <v>3957</v>
      </c>
      <c r="J784" s="19" t="s">
        <v>1139</v>
      </c>
      <c r="K784" s="19" t="s">
        <v>3538</v>
      </c>
      <c r="L784" s="19" t="s">
        <v>51</v>
      </c>
      <c r="M784" s="19" t="s">
        <v>174</v>
      </c>
      <c r="N784" s="19"/>
      <c r="O784" s="19" t="s">
        <v>3517</v>
      </c>
    </row>
    <row r="785" customFormat="false" ht="22.35" hidden="false" customHeight="false" outlineLevel="0" collapsed="false">
      <c r="A785" s="19" t="s">
        <v>3961</v>
      </c>
      <c r="B785" s="19" t="s">
        <v>187</v>
      </c>
      <c r="C785" s="19" t="str">
        <f aca="false">IFERROR(INDEX('Agent Roster'!$B:$B,MATCH(B785,'Agent Roster'!$A:$A,0)),"UNASSIGNED")</f>
        <v>BEAS Auditor (Layer V Garlick Equilibrium)</v>
      </c>
      <c r="D785" s="19" t="str">
        <f aca="false">IFERROR(INDEX('Agent Roster'!$D:$D,MATCH(B785,'Agent Roster'!$A:$A,0)),"UNASSIGNED")</f>
        <v>Orchestration &amp; Diagnostics</v>
      </c>
      <c r="E785" s="19" t="s">
        <v>3962</v>
      </c>
      <c r="F785" s="19" t="s">
        <v>3963</v>
      </c>
      <c r="G785" s="19" t="s">
        <v>3513</v>
      </c>
      <c r="H785" s="19" t="s">
        <v>3956</v>
      </c>
      <c r="I785" s="19" t="s">
        <v>3957</v>
      </c>
      <c r="J785" s="19" t="s">
        <v>1139</v>
      </c>
      <c r="K785" s="19" t="s">
        <v>3538</v>
      </c>
      <c r="L785" s="19" t="s">
        <v>51</v>
      </c>
      <c r="M785" s="19" t="s">
        <v>174</v>
      </c>
      <c r="N785" s="19"/>
      <c r="O785" s="19" t="s">
        <v>3517</v>
      </c>
    </row>
    <row r="786" customFormat="false" ht="22.35" hidden="false" customHeight="false" outlineLevel="0" collapsed="false">
      <c r="A786" s="19" t="s">
        <v>3964</v>
      </c>
      <c r="B786" s="19" t="s">
        <v>187</v>
      </c>
      <c r="C786" s="19" t="str">
        <f aca="false">IFERROR(INDEX('Agent Roster'!$B:$B,MATCH(B786,'Agent Roster'!$A:$A,0)),"UNASSIGNED")</f>
        <v>BEAS Auditor (Layer V Garlick Equilibrium)</v>
      </c>
      <c r="D786" s="19" t="str">
        <f aca="false">IFERROR(INDEX('Agent Roster'!$D:$D,MATCH(B786,'Agent Roster'!$A:$A,0)),"UNASSIGNED")</f>
        <v>Orchestration &amp; Diagnostics</v>
      </c>
      <c r="E786" s="19" t="s">
        <v>3965</v>
      </c>
      <c r="F786" s="19" t="s">
        <v>3966</v>
      </c>
      <c r="G786" s="19" t="s">
        <v>3513</v>
      </c>
      <c r="H786" s="19" t="s">
        <v>3956</v>
      </c>
      <c r="I786" s="19" t="s">
        <v>3957</v>
      </c>
      <c r="J786" s="19" t="s">
        <v>1139</v>
      </c>
      <c r="K786" s="19" t="s">
        <v>3538</v>
      </c>
      <c r="L786" s="19" t="s">
        <v>51</v>
      </c>
      <c r="M786" s="19" t="s">
        <v>174</v>
      </c>
      <c r="N786" s="19"/>
      <c r="O786" s="19" t="s">
        <v>3517</v>
      </c>
    </row>
    <row r="787" customFormat="false" ht="22.35" hidden="false" customHeight="false" outlineLevel="0" collapsed="false">
      <c r="A787" s="19" t="s">
        <v>3967</v>
      </c>
      <c r="B787" s="19" t="s">
        <v>187</v>
      </c>
      <c r="C787" s="19" t="str">
        <f aca="false">IFERROR(INDEX('Agent Roster'!$B:$B,MATCH(B787,'Agent Roster'!$A:$A,0)),"UNASSIGNED")</f>
        <v>BEAS Auditor (Layer V Garlick Equilibrium)</v>
      </c>
      <c r="D787" s="19" t="str">
        <f aca="false">IFERROR(INDEX('Agent Roster'!$D:$D,MATCH(B787,'Agent Roster'!$A:$A,0)),"UNASSIGNED")</f>
        <v>Orchestration &amp; Diagnostics</v>
      </c>
      <c r="E787" s="19" t="s">
        <v>3968</v>
      </c>
      <c r="F787" s="19" t="s">
        <v>3969</v>
      </c>
      <c r="G787" s="19" t="s">
        <v>3513</v>
      </c>
      <c r="H787" s="19" t="s">
        <v>3956</v>
      </c>
      <c r="I787" s="19" t="s">
        <v>3957</v>
      </c>
      <c r="J787" s="19" t="s">
        <v>1139</v>
      </c>
      <c r="K787" s="19" t="s">
        <v>3538</v>
      </c>
      <c r="L787" s="19" t="s">
        <v>51</v>
      </c>
      <c r="M787" s="19" t="s">
        <v>174</v>
      </c>
      <c r="N787" s="19"/>
      <c r="O787" s="19" t="s">
        <v>3517</v>
      </c>
    </row>
    <row r="788" customFormat="false" ht="22.35" hidden="false" customHeight="false" outlineLevel="0" collapsed="false">
      <c r="A788" s="19" t="s">
        <v>3970</v>
      </c>
      <c r="B788" s="19" t="s">
        <v>187</v>
      </c>
      <c r="C788" s="19" t="str">
        <f aca="false">IFERROR(INDEX('Agent Roster'!$B:$B,MATCH(B788,'Agent Roster'!$A:$A,0)),"UNASSIGNED")</f>
        <v>BEAS Auditor (Layer V Garlick Equilibrium)</v>
      </c>
      <c r="D788" s="19" t="str">
        <f aca="false">IFERROR(INDEX('Agent Roster'!$D:$D,MATCH(B788,'Agent Roster'!$A:$A,0)),"UNASSIGNED")</f>
        <v>Orchestration &amp; Diagnostics</v>
      </c>
      <c r="E788" s="19" t="s">
        <v>3971</v>
      </c>
      <c r="F788" s="19" t="s">
        <v>3972</v>
      </c>
      <c r="G788" s="19" t="s">
        <v>3513</v>
      </c>
      <c r="H788" s="19" t="s">
        <v>3956</v>
      </c>
      <c r="I788" s="19" t="s">
        <v>3957</v>
      </c>
      <c r="J788" s="19" t="s">
        <v>1139</v>
      </c>
      <c r="K788" s="19" t="s">
        <v>3538</v>
      </c>
      <c r="L788" s="19" t="s">
        <v>51</v>
      </c>
      <c r="M788" s="19" t="s">
        <v>174</v>
      </c>
      <c r="N788" s="19"/>
      <c r="O788" s="19" t="s">
        <v>3517</v>
      </c>
    </row>
    <row r="789" customFormat="false" ht="22.35" hidden="false" customHeight="false" outlineLevel="0" collapsed="false">
      <c r="A789" s="19" t="s">
        <v>3973</v>
      </c>
      <c r="B789" s="19" t="s">
        <v>187</v>
      </c>
      <c r="C789" s="19" t="str">
        <f aca="false">IFERROR(INDEX('Agent Roster'!$B:$B,MATCH(B789,'Agent Roster'!$A:$A,0)),"UNASSIGNED")</f>
        <v>BEAS Auditor (Layer V Garlick Equilibrium)</v>
      </c>
      <c r="D789" s="19" t="str">
        <f aca="false">IFERROR(INDEX('Agent Roster'!$D:$D,MATCH(B789,'Agent Roster'!$A:$A,0)),"UNASSIGNED")</f>
        <v>Orchestration &amp; Diagnostics</v>
      </c>
      <c r="E789" s="19" t="s">
        <v>3974</v>
      </c>
      <c r="F789" s="19" t="s">
        <v>3975</v>
      </c>
      <c r="G789" s="19" t="s">
        <v>3513</v>
      </c>
      <c r="H789" s="19" t="s">
        <v>3956</v>
      </c>
      <c r="I789" s="19" t="s">
        <v>3957</v>
      </c>
      <c r="J789" s="19" t="s">
        <v>1139</v>
      </c>
      <c r="K789" s="19" t="s">
        <v>3538</v>
      </c>
      <c r="L789" s="19" t="s">
        <v>51</v>
      </c>
      <c r="M789" s="19" t="s">
        <v>174</v>
      </c>
      <c r="N789" s="19"/>
      <c r="O789" s="19" t="s">
        <v>3517</v>
      </c>
    </row>
    <row r="790" customFormat="false" ht="22.35" hidden="false" customHeight="false" outlineLevel="0" collapsed="false">
      <c r="A790" s="19" t="s">
        <v>3976</v>
      </c>
      <c r="B790" s="19" t="s">
        <v>187</v>
      </c>
      <c r="C790" s="19" t="str">
        <f aca="false">IFERROR(INDEX('Agent Roster'!$B:$B,MATCH(B790,'Agent Roster'!$A:$A,0)),"UNASSIGNED")</f>
        <v>BEAS Auditor (Layer V Garlick Equilibrium)</v>
      </c>
      <c r="D790" s="19" t="str">
        <f aca="false">IFERROR(INDEX('Agent Roster'!$D:$D,MATCH(B790,'Agent Roster'!$A:$A,0)),"UNASSIGNED")</f>
        <v>Orchestration &amp; Diagnostics</v>
      </c>
      <c r="E790" s="19" t="s">
        <v>3977</v>
      </c>
      <c r="F790" s="19" t="s">
        <v>3978</v>
      </c>
      <c r="G790" s="19" t="s">
        <v>3513</v>
      </c>
      <c r="H790" s="19" t="s">
        <v>3956</v>
      </c>
      <c r="I790" s="19" t="s">
        <v>3957</v>
      </c>
      <c r="J790" s="19" t="s">
        <v>1139</v>
      </c>
      <c r="K790" s="19" t="s">
        <v>3538</v>
      </c>
      <c r="L790" s="19" t="s">
        <v>51</v>
      </c>
      <c r="M790" s="19" t="s">
        <v>174</v>
      </c>
      <c r="N790" s="19"/>
      <c r="O790" s="19" t="s">
        <v>3517</v>
      </c>
    </row>
    <row r="791" customFormat="false" ht="22.35" hidden="false" customHeight="false" outlineLevel="0" collapsed="false">
      <c r="A791" s="19" t="s">
        <v>3979</v>
      </c>
      <c r="B791" s="19" t="s">
        <v>346</v>
      </c>
      <c r="C791" s="19" t="str">
        <f aca="false">IFERROR(INDEX('Agent Roster'!$B:$B,MATCH(B791,'Agent Roster'!$A:$A,0)),"UNASSIGNED")</f>
        <v>Crisis Coordinator</v>
      </c>
      <c r="D791" s="19" t="str">
        <f aca="false">IFERROR(INDEX('Agent Roster'!$D:$D,MATCH(B791,'Agent Roster'!$A:$A,0)),"UNASSIGNED")</f>
        <v>Orchestration &amp; Diagnostics</v>
      </c>
      <c r="E791" s="19" t="s">
        <v>3980</v>
      </c>
      <c r="F791" s="19" t="s">
        <v>3981</v>
      </c>
      <c r="G791" s="19" t="s">
        <v>3513</v>
      </c>
      <c r="H791" s="19" t="s">
        <v>3956</v>
      </c>
      <c r="I791" s="19" t="s">
        <v>3957</v>
      </c>
      <c r="J791" s="19" t="s">
        <v>1139</v>
      </c>
      <c r="K791" s="19" t="s">
        <v>3538</v>
      </c>
      <c r="L791" s="19" t="s">
        <v>51</v>
      </c>
      <c r="M791" s="19" t="s">
        <v>174</v>
      </c>
      <c r="N791" s="19"/>
      <c r="O791" s="19" t="s">
        <v>3517</v>
      </c>
    </row>
    <row r="792" customFormat="false" ht="22.35" hidden="false" customHeight="false" outlineLevel="0" collapsed="false">
      <c r="A792" s="19" t="s">
        <v>3982</v>
      </c>
      <c r="B792" s="19" t="s">
        <v>220</v>
      </c>
      <c r="C792" s="19" t="str">
        <f aca="false">IFERROR(INDEX('Agent Roster'!$B:$B,MATCH(B792,'Agent Roster'!$A:$A,0)),"UNASSIGNED")</f>
        <v>Dynamic Middle Balancer (Layer I.D)</v>
      </c>
      <c r="D792" s="19" t="str">
        <f aca="false">IFERROR(INDEX('Agent Roster'!$D:$D,MATCH(B792,'Agent Roster'!$A:$A,0)),"UNASSIGNED")</f>
        <v>Orchestration &amp; Diagnostics</v>
      </c>
      <c r="E792" s="19" t="s">
        <v>3983</v>
      </c>
      <c r="F792" s="19" t="s">
        <v>3984</v>
      </c>
      <c r="G792" s="19" t="s">
        <v>3513</v>
      </c>
      <c r="H792" s="19" t="s">
        <v>3956</v>
      </c>
      <c r="I792" s="19" t="s">
        <v>3957</v>
      </c>
      <c r="J792" s="19" t="s">
        <v>1139</v>
      </c>
      <c r="K792" s="19" t="s">
        <v>3538</v>
      </c>
      <c r="L792" s="19" t="s">
        <v>51</v>
      </c>
      <c r="M792" s="19" t="s">
        <v>174</v>
      </c>
      <c r="N792" s="19" t="s">
        <v>3985</v>
      </c>
      <c r="O792" s="19" t="s">
        <v>3517</v>
      </c>
    </row>
    <row r="793" customFormat="false" ht="22.35" hidden="false" customHeight="false" outlineLevel="0" collapsed="false">
      <c r="A793" s="19" t="s">
        <v>3986</v>
      </c>
      <c r="B793" s="19" t="s">
        <v>220</v>
      </c>
      <c r="C793" s="19" t="str">
        <f aca="false">IFERROR(INDEX('Agent Roster'!$B:$B,MATCH(B793,'Agent Roster'!$A:$A,0)),"UNASSIGNED")</f>
        <v>Dynamic Middle Balancer (Layer I.D)</v>
      </c>
      <c r="D793" s="19" t="str">
        <f aca="false">IFERROR(INDEX('Agent Roster'!$D:$D,MATCH(B793,'Agent Roster'!$A:$A,0)),"UNASSIGNED")</f>
        <v>Orchestration &amp; Diagnostics</v>
      </c>
      <c r="E793" s="19" t="s">
        <v>3987</v>
      </c>
      <c r="F793" s="19" t="s">
        <v>3988</v>
      </c>
      <c r="G793" s="19" t="s">
        <v>3513</v>
      </c>
      <c r="H793" s="19" t="s">
        <v>3956</v>
      </c>
      <c r="I793" s="19" t="s">
        <v>3957</v>
      </c>
      <c r="J793" s="19" t="s">
        <v>1139</v>
      </c>
      <c r="K793" s="19" t="s">
        <v>3538</v>
      </c>
      <c r="L793" s="19" t="s">
        <v>51</v>
      </c>
      <c r="M793" s="19" t="s">
        <v>174</v>
      </c>
      <c r="N793" s="19" t="s">
        <v>3985</v>
      </c>
      <c r="O793" s="19" t="s">
        <v>3517</v>
      </c>
    </row>
    <row r="794" customFormat="false" ht="22.35" hidden="false" customHeight="false" outlineLevel="0" collapsed="false">
      <c r="A794" s="19" t="s">
        <v>3989</v>
      </c>
      <c r="B794" s="19" t="s">
        <v>220</v>
      </c>
      <c r="C794" s="19" t="str">
        <f aca="false">IFERROR(INDEX('Agent Roster'!$B:$B,MATCH(B794,'Agent Roster'!$A:$A,0)),"UNASSIGNED")</f>
        <v>Dynamic Middle Balancer (Layer I.D)</v>
      </c>
      <c r="D794" s="19" t="str">
        <f aca="false">IFERROR(INDEX('Agent Roster'!$D:$D,MATCH(B794,'Agent Roster'!$A:$A,0)),"UNASSIGNED")</f>
        <v>Orchestration &amp; Diagnostics</v>
      </c>
      <c r="E794" s="19" t="s">
        <v>3990</v>
      </c>
      <c r="F794" s="19" t="s">
        <v>3991</v>
      </c>
      <c r="G794" s="19" t="s">
        <v>3513</v>
      </c>
      <c r="H794" s="19" t="s">
        <v>3956</v>
      </c>
      <c r="I794" s="19" t="s">
        <v>3957</v>
      </c>
      <c r="J794" s="19" t="s">
        <v>1139</v>
      </c>
      <c r="K794" s="19" t="s">
        <v>3538</v>
      </c>
      <c r="L794" s="19" t="s">
        <v>51</v>
      </c>
      <c r="M794" s="19" t="s">
        <v>174</v>
      </c>
      <c r="N794" s="19" t="s">
        <v>3985</v>
      </c>
      <c r="O794" s="19" t="s">
        <v>3517</v>
      </c>
    </row>
    <row r="795" customFormat="false" ht="22.35" hidden="false" customHeight="false" outlineLevel="0" collapsed="false">
      <c r="A795" s="19" t="s">
        <v>3992</v>
      </c>
      <c r="B795" s="19" t="s">
        <v>1256</v>
      </c>
      <c r="C795" s="19" t="str">
        <f aca="false">IFERROR(INDEX('Agent Roster'!$B:$B,MATCH(B795,'Agent Roster'!$A:$A,0)),"UNASSIGNED")</f>
        <v>GFunnel University Curriculum Agent</v>
      </c>
      <c r="D795" s="19" t="str">
        <f aca="false">IFERROR(INDEX('Agent Roster'!$D:$D,MATCH(B795,'Agent Roster'!$A:$A,0)),"UNASSIGNED")</f>
        <v>9 · Content Hub</v>
      </c>
      <c r="E795" s="19" t="s">
        <v>3993</v>
      </c>
      <c r="F795" s="19" t="s">
        <v>3994</v>
      </c>
      <c r="G795" s="19" t="s">
        <v>3513</v>
      </c>
      <c r="H795" s="19" t="s">
        <v>3995</v>
      </c>
      <c r="I795" s="19" t="s">
        <v>3996</v>
      </c>
      <c r="J795" s="19" t="s">
        <v>1068</v>
      </c>
      <c r="K795" s="19" t="s">
        <v>51</v>
      </c>
      <c r="L795" s="19" t="s">
        <v>3997</v>
      </c>
      <c r="M795" s="19" t="s">
        <v>1202</v>
      </c>
      <c r="N795" s="19"/>
      <c r="O795" s="19" t="s">
        <v>3517</v>
      </c>
    </row>
    <row r="796" customFormat="false" ht="22.35" hidden="false" customHeight="false" outlineLevel="0" collapsed="false">
      <c r="A796" s="19" t="s">
        <v>3998</v>
      </c>
      <c r="B796" s="19" t="s">
        <v>1222</v>
      </c>
      <c r="C796" s="19" t="str">
        <f aca="false">IFERROR(INDEX('Agent Roster'!$B:$B,MATCH(B796,'Agent Roster'!$A:$A,0)),"UNASSIGNED")</f>
        <v>Media Production Agent (Mode 2 Demonstration)</v>
      </c>
      <c r="D796" s="19" t="str">
        <f aca="false">IFERROR(INDEX('Agent Roster'!$D:$D,MATCH(B796,'Agent Roster'!$A:$A,0)),"UNASSIGNED")</f>
        <v>9 · Content Hub</v>
      </c>
      <c r="E796" s="19" t="s">
        <v>3999</v>
      </c>
      <c r="F796" s="19" t="s">
        <v>4000</v>
      </c>
      <c r="G796" s="19" t="s">
        <v>3513</v>
      </c>
      <c r="H796" s="19" t="s">
        <v>3995</v>
      </c>
      <c r="I796" s="19" t="s">
        <v>3996</v>
      </c>
      <c r="J796" s="19" t="s">
        <v>1068</v>
      </c>
      <c r="K796" s="19" t="s">
        <v>51</v>
      </c>
      <c r="L796" s="19" t="s">
        <v>3997</v>
      </c>
      <c r="M796" s="19" t="s">
        <v>1202</v>
      </c>
      <c r="N796" s="19"/>
      <c r="O796" s="19" t="s">
        <v>3517</v>
      </c>
    </row>
    <row r="797" customFormat="false" ht="22.35" hidden="false" customHeight="false" outlineLevel="0" collapsed="false">
      <c r="A797" s="19" t="s">
        <v>4001</v>
      </c>
      <c r="B797" s="19" t="s">
        <v>1233</v>
      </c>
      <c r="C797" s="19" t="str">
        <f aca="false">IFERROR(INDEX('Agent Roster'!$B:$B,MATCH(B797,'Agent Roster'!$A:$A,0)),"UNASSIGNED")</f>
        <v>Methodology &amp; SOP Documentation Steward (Mode 3)</v>
      </c>
      <c r="D797" s="19" t="str">
        <f aca="false">IFERROR(INDEX('Agent Roster'!$D:$D,MATCH(B797,'Agent Roster'!$A:$A,0)),"UNASSIGNED")</f>
        <v>9 · Content Hub</v>
      </c>
      <c r="E797" s="19" t="s">
        <v>4002</v>
      </c>
      <c r="F797" s="19" t="s">
        <v>4003</v>
      </c>
      <c r="G797" s="19" t="s">
        <v>3513</v>
      </c>
      <c r="H797" s="19" t="s">
        <v>3995</v>
      </c>
      <c r="I797" s="19" t="s">
        <v>3996</v>
      </c>
      <c r="J797" s="19" t="s">
        <v>1068</v>
      </c>
      <c r="K797" s="19" t="s">
        <v>51</v>
      </c>
      <c r="L797" s="19" t="s">
        <v>3997</v>
      </c>
      <c r="M797" s="19" t="s">
        <v>1202</v>
      </c>
      <c r="N797" s="19"/>
      <c r="O797" s="19" t="s">
        <v>3517</v>
      </c>
    </row>
    <row r="798" customFormat="false" ht="22.35" hidden="false" customHeight="false" outlineLevel="0" collapsed="false">
      <c r="A798" s="19" t="s">
        <v>4004</v>
      </c>
      <c r="B798" s="19" t="s">
        <v>997</v>
      </c>
      <c r="C798" s="19" t="str">
        <f aca="false">IFERROR(INDEX('Agent Roster'!$B:$B,MATCH(B798,'Agent Roster'!$A:$A,0)),"UNASSIGNED")</f>
        <v>Automation Engineer (n8n)</v>
      </c>
      <c r="D798" s="19" t="str">
        <f aca="false">IFERROR(INDEX('Agent Roster'!$D:$D,MATCH(B798,'Agent Roster'!$A:$A,0)),"UNASSIGNED")</f>
        <v>7 · Technology Hub</v>
      </c>
      <c r="E798" s="19" t="s">
        <v>4005</v>
      </c>
      <c r="F798" s="19" t="s">
        <v>4006</v>
      </c>
      <c r="G798" s="19" t="s">
        <v>3513</v>
      </c>
      <c r="H798" s="19" t="s">
        <v>3995</v>
      </c>
      <c r="I798" s="19" t="s">
        <v>3996</v>
      </c>
      <c r="J798" s="19" t="s">
        <v>1068</v>
      </c>
      <c r="K798" s="19" t="s">
        <v>51</v>
      </c>
      <c r="L798" s="19" t="s">
        <v>3997</v>
      </c>
      <c r="M798" s="19" t="s">
        <v>1202</v>
      </c>
      <c r="N798" s="19"/>
      <c r="O798" s="19" t="s">
        <v>3517</v>
      </c>
    </row>
    <row r="799" customFormat="false" ht="22.35" hidden="false" customHeight="false" outlineLevel="0" collapsed="false">
      <c r="A799" s="19" t="s">
        <v>4007</v>
      </c>
      <c r="B799" s="19" t="s">
        <v>906</v>
      </c>
      <c r="C799" s="19" t="str">
        <f aca="false">IFERROR(INDEX('Agent Roster'!$B:$B,MATCH(B799,'Agent Roster'!$A:$A,0)),"UNASSIGNED")</f>
        <v>Culture &amp; Ritual Steward (Mode 5)</v>
      </c>
      <c r="D799" s="19" t="str">
        <f aca="false">IFERROR(INDEX('Agent Roster'!$D:$D,MATCH(B799,'Agent Roster'!$A:$A,0)),"UNASSIGNED")</f>
        <v>6 · HR &amp; Culture Hub</v>
      </c>
      <c r="E799" s="19" t="s">
        <v>4008</v>
      </c>
      <c r="F799" s="19" t="s">
        <v>4009</v>
      </c>
      <c r="G799" s="19" t="s">
        <v>3513</v>
      </c>
      <c r="H799" s="19" t="s">
        <v>3995</v>
      </c>
      <c r="I799" s="19" t="s">
        <v>3996</v>
      </c>
      <c r="J799" s="19" t="s">
        <v>1068</v>
      </c>
      <c r="K799" s="19" t="s">
        <v>51</v>
      </c>
      <c r="L799" s="19" t="s">
        <v>3997</v>
      </c>
      <c r="M799" s="19" t="s">
        <v>1202</v>
      </c>
      <c r="N799" s="19"/>
      <c r="O799" s="19" t="s">
        <v>3517</v>
      </c>
    </row>
    <row r="800" customFormat="false" ht="22.35" hidden="false" customHeight="false" outlineLevel="0" collapsed="false">
      <c r="A800" s="19" t="s">
        <v>4010</v>
      </c>
      <c r="B800" s="19" t="s">
        <v>302</v>
      </c>
      <c r="C800" s="19" t="str">
        <f aca="false">IFERROR(INDEX('Agent Roster'!$B:$B,MATCH(B800,'Agent Roster'!$A:$A,0)),"UNASSIGNED")</f>
        <v>Database &amp; Documentation Agent (Shepherd's Way Step 06)</v>
      </c>
      <c r="D800" s="19" t="str">
        <f aca="false">IFERROR(INDEX('Agent Roster'!$D:$D,MATCH(B800,'Agent Roster'!$A:$A,0)),"UNASSIGNED")</f>
        <v>Orchestration &amp; Diagnostics</v>
      </c>
      <c r="E800" s="19" t="s">
        <v>4011</v>
      </c>
      <c r="F800" s="19" t="s">
        <v>4012</v>
      </c>
      <c r="G800" s="19" t="s">
        <v>3513</v>
      </c>
      <c r="H800" s="19" t="s">
        <v>4013</v>
      </c>
      <c r="I800" s="19" t="s">
        <v>4014</v>
      </c>
      <c r="J800" s="19" t="s">
        <v>4015</v>
      </c>
      <c r="K800" s="19" t="s">
        <v>51</v>
      </c>
      <c r="L800" s="19" t="s">
        <v>51</v>
      </c>
      <c r="M800" s="19" t="s">
        <v>1202</v>
      </c>
      <c r="N800" s="19"/>
      <c r="O800" s="19" t="s">
        <v>3517</v>
      </c>
    </row>
    <row r="801" customFormat="false" ht="22.35" hidden="false" customHeight="false" outlineLevel="0" collapsed="false">
      <c r="A801" s="19" t="s">
        <v>4016</v>
      </c>
      <c r="B801" s="19" t="s">
        <v>1279</v>
      </c>
      <c r="C801" s="19" t="str">
        <f aca="false">IFERROR(INDEX('Agent Roster'!$B:$B,MATCH(B801,'Agent Roster'!$A:$A,0)),"UNASSIGNED")</f>
        <v>Case Study &amp; Proof Library Agent</v>
      </c>
      <c r="D801" s="19" t="str">
        <f aca="false">IFERROR(INDEX('Agent Roster'!$D:$D,MATCH(B801,'Agent Roster'!$A:$A,0)),"UNASSIGNED")</f>
        <v>9 · Content Hub</v>
      </c>
      <c r="E801" s="19" t="s">
        <v>4017</v>
      </c>
      <c r="F801" s="19" t="s">
        <v>4018</v>
      </c>
      <c r="G801" s="19" t="s">
        <v>3513</v>
      </c>
      <c r="H801" s="19" t="s">
        <v>4013</v>
      </c>
      <c r="I801" s="19" t="s">
        <v>4014</v>
      </c>
      <c r="J801" s="19" t="s">
        <v>4015</v>
      </c>
      <c r="K801" s="19" t="s">
        <v>51</v>
      </c>
      <c r="L801" s="19" t="s">
        <v>51</v>
      </c>
      <c r="M801" s="19" t="s">
        <v>1202</v>
      </c>
      <c r="N801" s="19"/>
      <c r="O801" s="19" t="s">
        <v>3517</v>
      </c>
    </row>
    <row r="802" customFormat="false" ht="22.35" hidden="false" customHeight="false" outlineLevel="0" collapsed="false">
      <c r="A802" s="19" t="s">
        <v>4019</v>
      </c>
      <c r="B802" s="19" t="s">
        <v>1191</v>
      </c>
      <c r="C802" s="19" t="str">
        <f aca="false">IFERROR(INDEX('Agent Roster'!$B:$B,MATCH(B802,'Agent Roster'!$A:$A,0)),"UNASSIGNED")</f>
        <v>Community &amp; Movement Agent</v>
      </c>
      <c r="D802" s="19" t="str">
        <f aca="false">IFERROR(INDEX('Agent Roster'!$D:$D,MATCH(B802,'Agent Roster'!$A:$A,0)),"UNASSIGNED")</f>
        <v>8 · Client Success Hub</v>
      </c>
      <c r="E802" s="19" t="s">
        <v>4020</v>
      </c>
      <c r="F802" s="19" t="s">
        <v>4021</v>
      </c>
      <c r="G802" s="19" t="s">
        <v>3513</v>
      </c>
      <c r="H802" s="19" t="s">
        <v>4013</v>
      </c>
      <c r="I802" s="19" t="s">
        <v>4014</v>
      </c>
      <c r="J802" s="19" t="s">
        <v>4015</v>
      </c>
      <c r="K802" s="19" t="s">
        <v>51</v>
      </c>
      <c r="L802" s="19" t="s">
        <v>51</v>
      </c>
      <c r="M802" s="19" t="s">
        <v>1202</v>
      </c>
      <c r="N802" s="19"/>
      <c r="O802" s="19" t="s">
        <v>3517</v>
      </c>
    </row>
    <row r="803" customFormat="false" ht="22.35" hidden="false" customHeight="false" outlineLevel="0" collapsed="false">
      <c r="A803" s="19" t="s">
        <v>4022</v>
      </c>
      <c r="B803" s="19" t="s">
        <v>997</v>
      </c>
      <c r="C803" s="19" t="str">
        <f aca="false">IFERROR(INDEX('Agent Roster'!$B:$B,MATCH(B803,'Agent Roster'!$A:$A,0)),"UNASSIGNED")</f>
        <v>Automation Engineer (n8n)</v>
      </c>
      <c r="D803" s="19" t="str">
        <f aca="false">IFERROR(INDEX('Agent Roster'!$D:$D,MATCH(B803,'Agent Roster'!$A:$A,0)),"UNASSIGNED")</f>
        <v>7 · Technology Hub</v>
      </c>
      <c r="E803" s="19" t="s">
        <v>4023</v>
      </c>
      <c r="F803" s="19" t="s">
        <v>4024</v>
      </c>
      <c r="G803" s="19" t="s">
        <v>3513</v>
      </c>
      <c r="H803" s="19" t="s">
        <v>4013</v>
      </c>
      <c r="I803" s="19" t="s">
        <v>4014</v>
      </c>
      <c r="J803" s="19" t="s">
        <v>4015</v>
      </c>
      <c r="K803" s="19" t="s">
        <v>51</v>
      </c>
      <c r="L803" s="19" t="s">
        <v>51</v>
      </c>
      <c r="M803" s="19" t="s">
        <v>1202</v>
      </c>
      <c r="N803" s="19"/>
      <c r="O803" s="19" t="s">
        <v>3517</v>
      </c>
    </row>
    <row r="804" customFormat="false" ht="22.35" hidden="false" customHeight="false" outlineLevel="0" collapsed="false">
      <c r="A804" s="19" t="s">
        <v>4025</v>
      </c>
      <c r="B804" s="19" t="s">
        <v>261</v>
      </c>
      <c r="C804" s="19" t="str">
        <f aca="false">IFERROR(INDEX('Agent Roster'!$B:$B,MATCH(B804,'Agent Roster'!$A:$A,0)),"UNASSIGNED")</f>
        <v>Infrastructure Pillars Agent (Layer I.B)</v>
      </c>
      <c r="D804" s="19" t="str">
        <f aca="false">IFERROR(INDEX('Agent Roster'!$D:$D,MATCH(B804,'Agent Roster'!$A:$A,0)),"UNASSIGNED")</f>
        <v>Orchestration &amp; Diagnostics</v>
      </c>
      <c r="E804" s="19" t="s">
        <v>4026</v>
      </c>
      <c r="F804" s="19" t="s">
        <v>4027</v>
      </c>
      <c r="G804" s="19" t="s">
        <v>3513</v>
      </c>
      <c r="H804" s="19" t="s">
        <v>4013</v>
      </c>
      <c r="I804" s="19" t="s">
        <v>4014</v>
      </c>
      <c r="J804" s="19" t="s">
        <v>4015</v>
      </c>
      <c r="K804" s="19" t="s">
        <v>51</v>
      </c>
      <c r="L804" s="19" t="s">
        <v>51</v>
      </c>
      <c r="M804" s="19" t="s">
        <v>1202</v>
      </c>
      <c r="N804" s="19"/>
      <c r="O804" s="19" t="s">
        <v>3517</v>
      </c>
    </row>
    <row r="805" customFormat="false" ht="22.35" hidden="false" customHeight="false" outlineLevel="0" collapsed="false">
      <c r="A805" s="19" t="s">
        <v>4028</v>
      </c>
      <c r="B805" s="19" t="s">
        <v>103</v>
      </c>
      <c r="C805" s="19" t="str">
        <f aca="false">IFERROR(INDEX('Agent Roster'!$B:$B,MATCH(B805,'Agent Roster'!$A:$A,0)),"UNASSIGNED")</f>
        <v>Framework Compliance Auditor</v>
      </c>
      <c r="D805" s="19" t="str">
        <f aca="false">IFERROR(INDEX('Agent Roster'!$D:$D,MATCH(B805,'Agent Roster'!$A:$A,0)),"UNASSIGNED")</f>
        <v>Governance &amp; Meta-Tier</v>
      </c>
      <c r="E805" s="19" t="s">
        <v>4029</v>
      </c>
      <c r="F805" s="19" t="s">
        <v>4030</v>
      </c>
      <c r="G805" s="19" t="s">
        <v>3513</v>
      </c>
      <c r="H805" s="19" t="s">
        <v>4031</v>
      </c>
      <c r="I805" s="19" t="s">
        <v>113</v>
      </c>
      <c r="J805" s="19" t="s">
        <v>4032</v>
      </c>
      <c r="K805" s="19" t="s">
        <v>4033</v>
      </c>
      <c r="L805" s="19" t="s">
        <v>4034</v>
      </c>
      <c r="M805" s="19" t="s">
        <v>4035</v>
      </c>
      <c r="N805" s="19"/>
      <c r="O805" s="19" t="s">
        <v>3517</v>
      </c>
    </row>
    <row r="806" customFormat="false" ht="22.35" hidden="false" customHeight="false" outlineLevel="0" collapsed="false">
      <c r="A806" s="19" t="s">
        <v>4036</v>
      </c>
      <c r="B806" s="19" t="s">
        <v>103</v>
      </c>
      <c r="C806" s="19" t="str">
        <f aca="false">IFERROR(INDEX('Agent Roster'!$B:$B,MATCH(B806,'Agent Roster'!$A:$A,0)),"UNASSIGNED")</f>
        <v>Framework Compliance Auditor</v>
      </c>
      <c r="D806" s="19" t="str">
        <f aca="false">IFERROR(INDEX('Agent Roster'!$D:$D,MATCH(B806,'Agent Roster'!$A:$A,0)),"UNASSIGNED")</f>
        <v>Governance &amp; Meta-Tier</v>
      </c>
      <c r="E806" s="19" t="s">
        <v>4037</v>
      </c>
      <c r="F806" s="19" t="s">
        <v>4038</v>
      </c>
      <c r="G806" s="19" t="s">
        <v>3513</v>
      </c>
      <c r="H806" s="19" t="s">
        <v>4031</v>
      </c>
      <c r="I806" s="19" t="s">
        <v>113</v>
      </c>
      <c r="J806" s="19" t="s">
        <v>4032</v>
      </c>
      <c r="K806" s="19" t="s">
        <v>4033</v>
      </c>
      <c r="L806" s="19" t="s">
        <v>4034</v>
      </c>
      <c r="M806" s="19" t="s">
        <v>4035</v>
      </c>
      <c r="N806" s="19"/>
      <c r="O806" s="19" t="s">
        <v>3517</v>
      </c>
    </row>
    <row r="807" customFormat="false" ht="22.35" hidden="false" customHeight="false" outlineLevel="0" collapsed="false">
      <c r="A807" s="19" t="s">
        <v>4039</v>
      </c>
      <c r="B807" s="19" t="s">
        <v>103</v>
      </c>
      <c r="C807" s="19" t="str">
        <f aca="false">IFERROR(INDEX('Agent Roster'!$B:$B,MATCH(B807,'Agent Roster'!$A:$A,0)),"UNASSIGNED")</f>
        <v>Framework Compliance Auditor</v>
      </c>
      <c r="D807" s="19" t="str">
        <f aca="false">IFERROR(INDEX('Agent Roster'!$D:$D,MATCH(B807,'Agent Roster'!$A:$A,0)),"UNASSIGNED")</f>
        <v>Governance &amp; Meta-Tier</v>
      </c>
      <c r="E807" s="19" t="s">
        <v>4040</v>
      </c>
      <c r="F807" s="19" t="s">
        <v>4041</v>
      </c>
      <c r="G807" s="19" t="s">
        <v>3513</v>
      </c>
      <c r="H807" s="19" t="s">
        <v>4031</v>
      </c>
      <c r="I807" s="19" t="s">
        <v>113</v>
      </c>
      <c r="J807" s="19" t="s">
        <v>4032</v>
      </c>
      <c r="K807" s="19" t="s">
        <v>4033</v>
      </c>
      <c r="L807" s="19" t="s">
        <v>4034</v>
      </c>
      <c r="M807" s="19" t="s">
        <v>4035</v>
      </c>
      <c r="N807" s="19"/>
      <c r="O807" s="19" t="s">
        <v>3517</v>
      </c>
    </row>
    <row r="808" customFormat="false" ht="22.35" hidden="false" customHeight="false" outlineLevel="0" collapsed="false">
      <c r="A808" s="19" t="s">
        <v>4042</v>
      </c>
      <c r="B808" s="19" t="s">
        <v>103</v>
      </c>
      <c r="C808" s="19" t="str">
        <f aca="false">IFERROR(INDEX('Agent Roster'!$B:$B,MATCH(B808,'Agent Roster'!$A:$A,0)),"UNASSIGNED")</f>
        <v>Framework Compliance Auditor</v>
      </c>
      <c r="D808" s="19" t="str">
        <f aca="false">IFERROR(INDEX('Agent Roster'!$D:$D,MATCH(B808,'Agent Roster'!$A:$A,0)),"UNASSIGNED")</f>
        <v>Governance &amp; Meta-Tier</v>
      </c>
      <c r="E808" s="19" t="s">
        <v>4043</v>
      </c>
      <c r="F808" s="19" t="s">
        <v>4044</v>
      </c>
      <c r="G808" s="19" t="s">
        <v>3513</v>
      </c>
      <c r="H808" s="19" t="s">
        <v>4031</v>
      </c>
      <c r="I808" s="19" t="s">
        <v>113</v>
      </c>
      <c r="J808" s="19" t="s">
        <v>4032</v>
      </c>
      <c r="K808" s="19" t="s">
        <v>4033</v>
      </c>
      <c r="L808" s="19" t="s">
        <v>4034</v>
      </c>
      <c r="M808" s="19" t="s">
        <v>4035</v>
      </c>
      <c r="N808" s="19"/>
      <c r="O808" s="19" t="s">
        <v>3517</v>
      </c>
    </row>
    <row r="809" customFormat="false" ht="22.35" hidden="false" customHeight="false" outlineLevel="0" collapsed="false">
      <c r="A809" s="19" t="s">
        <v>4045</v>
      </c>
      <c r="B809" s="19" t="s">
        <v>103</v>
      </c>
      <c r="C809" s="19" t="str">
        <f aca="false">IFERROR(INDEX('Agent Roster'!$B:$B,MATCH(B809,'Agent Roster'!$A:$A,0)),"UNASSIGNED")</f>
        <v>Framework Compliance Auditor</v>
      </c>
      <c r="D809" s="19" t="str">
        <f aca="false">IFERROR(INDEX('Agent Roster'!$D:$D,MATCH(B809,'Agent Roster'!$A:$A,0)),"UNASSIGNED")</f>
        <v>Governance &amp; Meta-Tier</v>
      </c>
      <c r="E809" s="19" t="s">
        <v>4046</v>
      </c>
      <c r="F809" s="19" t="s">
        <v>4047</v>
      </c>
      <c r="G809" s="19" t="s">
        <v>3513</v>
      </c>
      <c r="H809" s="19" t="s">
        <v>4031</v>
      </c>
      <c r="I809" s="19" t="s">
        <v>113</v>
      </c>
      <c r="J809" s="19" t="s">
        <v>4032</v>
      </c>
      <c r="K809" s="19" t="s">
        <v>4033</v>
      </c>
      <c r="L809" s="19" t="s">
        <v>4034</v>
      </c>
      <c r="M809" s="19" t="s">
        <v>4035</v>
      </c>
      <c r="N809" s="19"/>
      <c r="O809" s="19" t="s">
        <v>3517</v>
      </c>
    </row>
    <row r="810" customFormat="false" ht="22.35" hidden="false" customHeight="false" outlineLevel="0" collapsed="false">
      <c r="A810" s="19" t="s">
        <v>4048</v>
      </c>
      <c r="B810" s="19" t="s">
        <v>103</v>
      </c>
      <c r="C810" s="19" t="str">
        <f aca="false">IFERROR(INDEX('Agent Roster'!$B:$B,MATCH(B810,'Agent Roster'!$A:$A,0)),"UNASSIGNED")</f>
        <v>Framework Compliance Auditor</v>
      </c>
      <c r="D810" s="19" t="str">
        <f aca="false">IFERROR(INDEX('Agent Roster'!$D:$D,MATCH(B810,'Agent Roster'!$A:$A,0)),"UNASSIGNED")</f>
        <v>Governance &amp; Meta-Tier</v>
      </c>
      <c r="E810" s="19" t="s">
        <v>4049</v>
      </c>
      <c r="F810" s="19" t="s">
        <v>4050</v>
      </c>
      <c r="G810" s="19" t="s">
        <v>3513</v>
      </c>
      <c r="H810" s="19" t="s">
        <v>4031</v>
      </c>
      <c r="I810" s="19" t="s">
        <v>113</v>
      </c>
      <c r="J810" s="19" t="s">
        <v>4032</v>
      </c>
      <c r="K810" s="19" t="s">
        <v>4033</v>
      </c>
      <c r="L810" s="19" t="s">
        <v>4034</v>
      </c>
      <c r="M810" s="19" t="s">
        <v>4035</v>
      </c>
      <c r="N810" s="19"/>
      <c r="O810" s="19" t="s">
        <v>3517</v>
      </c>
    </row>
    <row r="811" customFormat="false" ht="22.35" hidden="false" customHeight="false" outlineLevel="0" collapsed="false">
      <c r="A811" s="19" t="s">
        <v>4051</v>
      </c>
      <c r="B811" s="19" t="s">
        <v>103</v>
      </c>
      <c r="C811" s="19" t="str">
        <f aca="false">IFERROR(INDEX('Agent Roster'!$B:$B,MATCH(B811,'Agent Roster'!$A:$A,0)),"UNASSIGNED")</f>
        <v>Framework Compliance Auditor</v>
      </c>
      <c r="D811" s="19" t="str">
        <f aca="false">IFERROR(INDEX('Agent Roster'!$D:$D,MATCH(B811,'Agent Roster'!$A:$A,0)),"UNASSIGNED")</f>
        <v>Governance &amp; Meta-Tier</v>
      </c>
      <c r="E811" s="19" t="s">
        <v>4052</v>
      </c>
      <c r="F811" s="19" t="s">
        <v>4053</v>
      </c>
      <c r="G811" s="19" t="s">
        <v>3513</v>
      </c>
      <c r="H811" s="19" t="s">
        <v>4031</v>
      </c>
      <c r="I811" s="19" t="s">
        <v>113</v>
      </c>
      <c r="J811" s="19" t="s">
        <v>4032</v>
      </c>
      <c r="K811" s="19" t="s">
        <v>4033</v>
      </c>
      <c r="L811" s="19" t="s">
        <v>4034</v>
      </c>
      <c r="M811" s="19" t="s">
        <v>4035</v>
      </c>
      <c r="N811" s="19"/>
      <c r="O811" s="19" t="s">
        <v>3517</v>
      </c>
    </row>
    <row r="812" customFormat="false" ht="22.35" hidden="false" customHeight="false" outlineLevel="0" collapsed="false">
      <c r="A812" s="19" t="s">
        <v>4054</v>
      </c>
      <c r="B812" s="19" t="s">
        <v>47</v>
      </c>
      <c r="C812" s="19" t="str">
        <f aca="false">IFERROR(INDEX('Agent Roster'!$B:$B,MATCH(B812,'Agent Roster'!$A:$A,0)),"UNASSIGNED")</f>
        <v>Founder / Operator (HUMAN)</v>
      </c>
      <c r="D812" s="19" t="str">
        <f aca="false">IFERROR(INDEX('Agent Roster'!$D:$D,MATCH(B812,'Agent Roster'!$A:$A,0)),"UNASSIGNED")</f>
        <v>Governance &amp; Meta-Tier</v>
      </c>
      <c r="E812" s="19" t="s">
        <v>4055</v>
      </c>
      <c r="F812" s="19" t="s">
        <v>4056</v>
      </c>
      <c r="G812" s="19" t="s">
        <v>3513</v>
      </c>
      <c r="H812" s="19" t="s">
        <v>4057</v>
      </c>
      <c r="I812" s="19" t="s">
        <v>4058</v>
      </c>
      <c r="J812" s="19" t="s">
        <v>4059</v>
      </c>
      <c r="K812" s="19" t="s">
        <v>4060</v>
      </c>
      <c r="L812" s="19" t="s">
        <v>4061</v>
      </c>
      <c r="M812" s="19" t="s">
        <v>4062</v>
      </c>
      <c r="N812" s="19" t="s">
        <v>1657</v>
      </c>
      <c r="O812" s="19" t="s">
        <v>3517</v>
      </c>
    </row>
    <row r="813" customFormat="false" ht="22.35" hidden="false" customHeight="false" outlineLevel="0" collapsed="false">
      <c r="A813" s="19" t="s">
        <v>4063</v>
      </c>
      <c r="B813" s="19" t="s">
        <v>47</v>
      </c>
      <c r="C813" s="19" t="str">
        <f aca="false">IFERROR(INDEX('Agent Roster'!$B:$B,MATCH(B813,'Agent Roster'!$A:$A,0)),"UNASSIGNED")</f>
        <v>Founder / Operator (HUMAN)</v>
      </c>
      <c r="D813" s="19" t="str">
        <f aca="false">IFERROR(INDEX('Agent Roster'!$D:$D,MATCH(B813,'Agent Roster'!$A:$A,0)),"UNASSIGNED")</f>
        <v>Governance &amp; Meta-Tier</v>
      </c>
      <c r="E813" s="19" t="s">
        <v>4064</v>
      </c>
      <c r="F813" s="19" t="s">
        <v>4065</v>
      </c>
      <c r="G813" s="19" t="s">
        <v>3513</v>
      </c>
      <c r="H813" s="19" t="s">
        <v>4057</v>
      </c>
      <c r="I813" s="19" t="s">
        <v>4058</v>
      </c>
      <c r="J813" s="19" t="s">
        <v>4059</v>
      </c>
      <c r="K813" s="19" t="s">
        <v>4060</v>
      </c>
      <c r="L813" s="19" t="s">
        <v>4061</v>
      </c>
      <c r="M813" s="19" t="s">
        <v>4062</v>
      </c>
      <c r="N813" s="19" t="s">
        <v>1657</v>
      </c>
      <c r="O813" s="19" t="s">
        <v>3517</v>
      </c>
    </row>
    <row r="814" customFormat="false" ht="22.35" hidden="false" customHeight="false" outlineLevel="0" collapsed="false">
      <c r="A814" s="19" t="s">
        <v>4066</v>
      </c>
      <c r="B814" s="19" t="s">
        <v>47</v>
      </c>
      <c r="C814" s="19" t="str">
        <f aca="false">IFERROR(INDEX('Agent Roster'!$B:$B,MATCH(B814,'Agent Roster'!$A:$A,0)),"UNASSIGNED")</f>
        <v>Founder / Operator (HUMAN)</v>
      </c>
      <c r="D814" s="19" t="str">
        <f aca="false">IFERROR(INDEX('Agent Roster'!$D:$D,MATCH(B814,'Agent Roster'!$A:$A,0)),"UNASSIGNED")</f>
        <v>Governance &amp; Meta-Tier</v>
      </c>
      <c r="E814" s="19" t="s">
        <v>4067</v>
      </c>
      <c r="F814" s="19" t="s">
        <v>4068</v>
      </c>
      <c r="G814" s="19" t="s">
        <v>3513</v>
      </c>
      <c r="H814" s="19" t="s">
        <v>4057</v>
      </c>
      <c r="I814" s="19" t="s">
        <v>4058</v>
      </c>
      <c r="J814" s="19" t="s">
        <v>4059</v>
      </c>
      <c r="K814" s="19" t="s">
        <v>4060</v>
      </c>
      <c r="L814" s="19" t="s">
        <v>4061</v>
      </c>
      <c r="M814" s="19" t="s">
        <v>4062</v>
      </c>
      <c r="N814" s="19" t="s">
        <v>1657</v>
      </c>
      <c r="O814" s="19" t="s">
        <v>3517</v>
      </c>
    </row>
    <row r="815" customFormat="false" ht="22.35" hidden="false" customHeight="false" outlineLevel="0" collapsed="false">
      <c r="A815" s="19" t="s">
        <v>4069</v>
      </c>
      <c r="B815" s="19" t="s">
        <v>47</v>
      </c>
      <c r="C815" s="19" t="str">
        <f aca="false">IFERROR(INDEX('Agent Roster'!$B:$B,MATCH(B815,'Agent Roster'!$A:$A,0)),"UNASSIGNED")</f>
        <v>Founder / Operator (HUMAN)</v>
      </c>
      <c r="D815" s="19" t="str">
        <f aca="false">IFERROR(INDEX('Agent Roster'!$D:$D,MATCH(B815,'Agent Roster'!$A:$A,0)),"UNASSIGNED")</f>
        <v>Governance &amp; Meta-Tier</v>
      </c>
      <c r="E815" s="19" t="s">
        <v>4070</v>
      </c>
      <c r="F815" s="19" t="s">
        <v>4071</v>
      </c>
      <c r="G815" s="19" t="s">
        <v>3513</v>
      </c>
      <c r="H815" s="19" t="s">
        <v>4057</v>
      </c>
      <c r="I815" s="19" t="s">
        <v>4058</v>
      </c>
      <c r="J815" s="19" t="s">
        <v>4059</v>
      </c>
      <c r="K815" s="19" t="s">
        <v>4060</v>
      </c>
      <c r="L815" s="19" t="s">
        <v>4061</v>
      </c>
      <c r="M815" s="19" t="s">
        <v>4062</v>
      </c>
      <c r="N815" s="19" t="s">
        <v>1657</v>
      </c>
      <c r="O815" s="19" t="s">
        <v>3517</v>
      </c>
    </row>
    <row r="816" customFormat="false" ht="22.35" hidden="false" customHeight="false" outlineLevel="0" collapsed="false">
      <c r="A816" s="19" t="s">
        <v>4072</v>
      </c>
      <c r="B816" s="19" t="s">
        <v>103</v>
      </c>
      <c r="C816" s="19" t="str">
        <f aca="false">IFERROR(INDEX('Agent Roster'!$B:$B,MATCH(B816,'Agent Roster'!$A:$A,0)),"UNASSIGNED")</f>
        <v>Framework Compliance Auditor</v>
      </c>
      <c r="D816" s="19" t="str">
        <f aca="false">IFERROR(INDEX('Agent Roster'!$D:$D,MATCH(B816,'Agent Roster'!$A:$A,0)),"UNASSIGNED")</f>
        <v>Governance &amp; Meta-Tier</v>
      </c>
      <c r="E816" s="19" t="s">
        <v>4073</v>
      </c>
      <c r="F816" s="19" t="s">
        <v>4074</v>
      </c>
      <c r="G816" s="19" t="s">
        <v>3513</v>
      </c>
      <c r="H816" s="19" t="s">
        <v>4075</v>
      </c>
      <c r="I816" s="19" t="s">
        <v>4076</v>
      </c>
      <c r="J816" s="19" t="s">
        <v>4077</v>
      </c>
      <c r="K816" s="19" t="s">
        <v>4078</v>
      </c>
      <c r="L816" s="19" t="s">
        <v>4079</v>
      </c>
      <c r="M816" s="19" t="s">
        <v>153</v>
      </c>
      <c r="N816" s="19"/>
      <c r="O816" s="19" t="s">
        <v>3517</v>
      </c>
    </row>
    <row r="817" customFormat="false" ht="22.35" hidden="false" customHeight="false" outlineLevel="0" collapsed="false">
      <c r="A817" s="19" t="s">
        <v>4080</v>
      </c>
      <c r="B817" s="19" t="s">
        <v>103</v>
      </c>
      <c r="C817" s="19" t="str">
        <f aca="false">IFERROR(INDEX('Agent Roster'!$B:$B,MATCH(B817,'Agent Roster'!$A:$A,0)),"UNASSIGNED")</f>
        <v>Framework Compliance Auditor</v>
      </c>
      <c r="D817" s="19" t="str">
        <f aca="false">IFERROR(INDEX('Agent Roster'!$D:$D,MATCH(B817,'Agent Roster'!$A:$A,0)),"UNASSIGNED")</f>
        <v>Governance &amp; Meta-Tier</v>
      </c>
      <c r="E817" s="19" t="s">
        <v>4081</v>
      </c>
      <c r="F817" s="19" t="s">
        <v>4082</v>
      </c>
      <c r="G817" s="19" t="s">
        <v>3513</v>
      </c>
      <c r="H817" s="19" t="s">
        <v>4075</v>
      </c>
      <c r="I817" s="19" t="s">
        <v>4076</v>
      </c>
      <c r="J817" s="19" t="s">
        <v>4077</v>
      </c>
      <c r="K817" s="19" t="s">
        <v>4078</v>
      </c>
      <c r="L817" s="19" t="s">
        <v>4079</v>
      </c>
      <c r="M817" s="19" t="s">
        <v>153</v>
      </c>
      <c r="N817" s="19"/>
      <c r="O817" s="19" t="s">
        <v>3517</v>
      </c>
    </row>
    <row r="818" customFormat="false" ht="22.35" hidden="false" customHeight="false" outlineLevel="0" collapsed="false">
      <c r="A818" s="19" t="s">
        <v>4083</v>
      </c>
      <c r="B818" s="19" t="s">
        <v>103</v>
      </c>
      <c r="C818" s="19" t="str">
        <f aca="false">IFERROR(INDEX('Agent Roster'!$B:$B,MATCH(B818,'Agent Roster'!$A:$A,0)),"UNASSIGNED")</f>
        <v>Framework Compliance Auditor</v>
      </c>
      <c r="D818" s="19" t="str">
        <f aca="false">IFERROR(INDEX('Agent Roster'!$D:$D,MATCH(B818,'Agent Roster'!$A:$A,0)),"UNASSIGNED")</f>
        <v>Governance &amp; Meta-Tier</v>
      </c>
      <c r="E818" s="19" t="s">
        <v>4084</v>
      </c>
      <c r="F818" s="19" t="s">
        <v>4085</v>
      </c>
      <c r="G818" s="19" t="s">
        <v>3513</v>
      </c>
      <c r="H818" s="19" t="s">
        <v>4075</v>
      </c>
      <c r="I818" s="19" t="s">
        <v>4076</v>
      </c>
      <c r="J818" s="19" t="s">
        <v>4077</v>
      </c>
      <c r="K818" s="19" t="s">
        <v>4078</v>
      </c>
      <c r="L818" s="19" t="s">
        <v>4079</v>
      </c>
      <c r="M818" s="19" t="s">
        <v>153</v>
      </c>
      <c r="N818" s="19"/>
      <c r="O818" s="19" t="s">
        <v>3517</v>
      </c>
    </row>
    <row r="819" customFormat="false" ht="22.35" hidden="false" customHeight="false" outlineLevel="0" collapsed="false">
      <c r="A819" s="19" t="s">
        <v>4086</v>
      </c>
      <c r="B819" s="19" t="s">
        <v>103</v>
      </c>
      <c r="C819" s="19" t="str">
        <f aca="false">IFERROR(INDEX('Agent Roster'!$B:$B,MATCH(B819,'Agent Roster'!$A:$A,0)),"UNASSIGNED")</f>
        <v>Framework Compliance Auditor</v>
      </c>
      <c r="D819" s="19" t="str">
        <f aca="false">IFERROR(INDEX('Agent Roster'!$D:$D,MATCH(B819,'Agent Roster'!$A:$A,0)),"UNASSIGNED")</f>
        <v>Governance &amp; Meta-Tier</v>
      </c>
      <c r="E819" s="19" t="s">
        <v>4087</v>
      </c>
      <c r="F819" s="19" t="s">
        <v>4088</v>
      </c>
      <c r="G819" s="19" t="s">
        <v>3513</v>
      </c>
      <c r="H819" s="19" t="s">
        <v>4075</v>
      </c>
      <c r="I819" s="19" t="s">
        <v>4076</v>
      </c>
      <c r="J819" s="19" t="s">
        <v>4077</v>
      </c>
      <c r="K819" s="19" t="s">
        <v>4078</v>
      </c>
      <c r="L819" s="19" t="s">
        <v>4079</v>
      </c>
      <c r="M819" s="19" t="s">
        <v>153</v>
      </c>
      <c r="N819" s="19"/>
      <c r="O819" s="19" t="s">
        <v>3517</v>
      </c>
    </row>
    <row r="820" customFormat="false" ht="22.35" hidden="false" customHeight="false" outlineLevel="0" collapsed="false">
      <c r="A820" s="19" t="s">
        <v>4089</v>
      </c>
      <c r="B820" s="19" t="s">
        <v>103</v>
      </c>
      <c r="C820" s="19" t="str">
        <f aca="false">IFERROR(INDEX('Agent Roster'!$B:$B,MATCH(B820,'Agent Roster'!$A:$A,0)),"UNASSIGNED")</f>
        <v>Framework Compliance Auditor</v>
      </c>
      <c r="D820" s="19" t="str">
        <f aca="false">IFERROR(INDEX('Agent Roster'!$D:$D,MATCH(B820,'Agent Roster'!$A:$A,0)),"UNASSIGNED")</f>
        <v>Governance &amp; Meta-Tier</v>
      </c>
      <c r="E820" s="19" t="s">
        <v>4090</v>
      </c>
      <c r="F820" s="19" t="s">
        <v>4091</v>
      </c>
      <c r="G820" s="19" t="s">
        <v>3513</v>
      </c>
      <c r="H820" s="19" t="s">
        <v>4075</v>
      </c>
      <c r="I820" s="19" t="s">
        <v>4076</v>
      </c>
      <c r="J820" s="19" t="s">
        <v>4077</v>
      </c>
      <c r="K820" s="19" t="s">
        <v>4078</v>
      </c>
      <c r="L820" s="19" t="s">
        <v>4079</v>
      </c>
      <c r="M820" s="19" t="s">
        <v>153</v>
      </c>
      <c r="N820" s="19"/>
      <c r="O820" s="19" t="s">
        <v>3517</v>
      </c>
    </row>
    <row r="821" customFormat="false" ht="22.35" hidden="false" customHeight="false" outlineLevel="0" collapsed="false">
      <c r="A821" s="19" t="s">
        <v>4092</v>
      </c>
      <c r="B821" s="19" t="s">
        <v>103</v>
      </c>
      <c r="C821" s="19" t="str">
        <f aca="false">IFERROR(INDEX('Agent Roster'!$B:$B,MATCH(B821,'Agent Roster'!$A:$A,0)),"UNASSIGNED")</f>
        <v>Framework Compliance Auditor</v>
      </c>
      <c r="D821" s="19" t="str">
        <f aca="false">IFERROR(INDEX('Agent Roster'!$D:$D,MATCH(B821,'Agent Roster'!$A:$A,0)),"UNASSIGNED")</f>
        <v>Governance &amp; Meta-Tier</v>
      </c>
      <c r="E821" s="19" t="s">
        <v>4093</v>
      </c>
      <c r="F821" s="19" t="s">
        <v>4094</v>
      </c>
      <c r="G821" s="19" t="s">
        <v>3513</v>
      </c>
      <c r="H821" s="19" t="s">
        <v>4075</v>
      </c>
      <c r="I821" s="19" t="s">
        <v>4076</v>
      </c>
      <c r="J821" s="19" t="s">
        <v>4077</v>
      </c>
      <c r="K821" s="19" t="s">
        <v>4078</v>
      </c>
      <c r="L821" s="19" t="s">
        <v>4079</v>
      </c>
      <c r="M821" s="19" t="s">
        <v>153</v>
      </c>
      <c r="N821" s="19"/>
      <c r="O821" s="19" t="s">
        <v>3517</v>
      </c>
    </row>
    <row r="822" customFormat="false" ht="22.35" hidden="false" customHeight="false" outlineLevel="0" collapsed="false">
      <c r="A822" s="19" t="s">
        <v>4095</v>
      </c>
      <c r="B822" s="19" t="s">
        <v>153</v>
      </c>
      <c r="C822" s="19" t="str">
        <f aca="false">IFERROR(INDEX('Agent Roster'!$B:$B,MATCH(B822,'Agent Roster'!$A:$A,0)),"UNASSIGNED")</f>
        <v>Algorithm Router (Master Meta-Algorithm)</v>
      </c>
      <c r="D822" s="19" t="str">
        <f aca="false">IFERROR(INDEX('Agent Roster'!$D:$D,MATCH(B822,'Agent Roster'!$A:$A,0)),"UNASSIGNED")</f>
        <v>Orchestration &amp; Diagnostics</v>
      </c>
      <c r="E822" s="19" t="s">
        <v>4096</v>
      </c>
      <c r="F822" s="19" t="s">
        <v>4097</v>
      </c>
      <c r="G822" s="19" t="s">
        <v>3513</v>
      </c>
      <c r="H822" s="19" t="s">
        <v>4098</v>
      </c>
      <c r="I822" s="19" t="s">
        <v>4099</v>
      </c>
      <c r="J822" s="19" t="s">
        <v>4100</v>
      </c>
      <c r="K822" s="19" t="s">
        <v>4101</v>
      </c>
      <c r="L822" s="19" t="s">
        <v>4102</v>
      </c>
      <c r="M822" s="19" t="s">
        <v>65</v>
      </c>
      <c r="N822" s="19"/>
      <c r="O822" s="19" t="s">
        <v>3517</v>
      </c>
    </row>
    <row r="823" customFormat="false" ht="22.35" hidden="false" customHeight="false" outlineLevel="0" collapsed="false">
      <c r="A823" s="19" t="s">
        <v>4103</v>
      </c>
      <c r="B823" s="19" t="s">
        <v>153</v>
      </c>
      <c r="C823" s="19" t="str">
        <f aca="false">IFERROR(INDEX('Agent Roster'!$B:$B,MATCH(B823,'Agent Roster'!$A:$A,0)),"UNASSIGNED")</f>
        <v>Algorithm Router (Master Meta-Algorithm)</v>
      </c>
      <c r="D823" s="19" t="str">
        <f aca="false">IFERROR(INDEX('Agent Roster'!$D:$D,MATCH(B823,'Agent Roster'!$A:$A,0)),"UNASSIGNED")</f>
        <v>Orchestration &amp; Diagnostics</v>
      </c>
      <c r="E823" s="19" t="s">
        <v>4104</v>
      </c>
      <c r="F823" s="19" t="s">
        <v>4105</v>
      </c>
      <c r="G823" s="19" t="s">
        <v>3513</v>
      </c>
      <c r="H823" s="19" t="s">
        <v>4098</v>
      </c>
      <c r="I823" s="19" t="s">
        <v>4099</v>
      </c>
      <c r="J823" s="19" t="s">
        <v>4100</v>
      </c>
      <c r="K823" s="19" t="s">
        <v>4101</v>
      </c>
      <c r="L823" s="19" t="s">
        <v>4102</v>
      </c>
      <c r="M823" s="19" t="s">
        <v>65</v>
      </c>
      <c r="N823" s="19"/>
      <c r="O823" s="19" t="s">
        <v>3517</v>
      </c>
    </row>
    <row r="824" customFormat="false" ht="22.35" hidden="false" customHeight="false" outlineLevel="0" collapsed="false">
      <c r="A824" s="19" t="s">
        <v>4106</v>
      </c>
      <c r="B824" s="19" t="s">
        <v>153</v>
      </c>
      <c r="C824" s="19" t="str">
        <f aca="false">IFERROR(INDEX('Agent Roster'!$B:$B,MATCH(B824,'Agent Roster'!$A:$A,0)),"UNASSIGNED")</f>
        <v>Algorithm Router (Master Meta-Algorithm)</v>
      </c>
      <c r="D824" s="19" t="str">
        <f aca="false">IFERROR(INDEX('Agent Roster'!$D:$D,MATCH(B824,'Agent Roster'!$A:$A,0)),"UNASSIGNED")</f>
        <v>Orchestration &amp; Diagnostics</v>
      </c>
      <c r="E824" s="19" t="s">
        <v>4107</v>
      </c>
      <c r="F824" s="19" t="s">
        <v>4108</v>
      </c>
      <c r="G824" s="19" t="s">
        <v>3513</v>
      </c>
      <c r="H824" s="19" t="s">
        <v>4098</v>
      </c>
      <c r="I824" s="19" t="s">
        <v>4099</v>
      </c>
      <c r="J824" s="19" t="s">
        <v>4100</v>
      </c>
      <c r="K824" s="19" t="s">
        <v>4101</v>
      </c>
      <c r="L824" s="19" t="s">
        <v>4102</v>
      </c>
      <c r="M824" s="19" t="s">
        <v>65</v>
      </c>
      <c r="N824" s="19"/>
      <c r="O824" s="19" t="s">
        <v>3517</v>
      </c>
    </row>
    <row r="825" customFormat="false" ht="22.35" hidden="false" customHeight="false" outlineLevel="0" collapsed="false">
      <c r="A825" s="19" t="s">
        <v>4109</v>
      </c>
      <c r="B825" s="19" t="s">
        <v>153</v>
      </c>
      <c r="C825" s="19" t="str">
        <f aca="false">IFERROR(INDEX('Agent Roster'!$B:$B,MATCH(B825,'Agent Roster'!$A:$A,0)),"UNASSIGNED")</f>
        <v>Algorithm Router (Master Meta-Algorithm)</v>
      </c>
      <c r="D825" s="19" t="str">
        <f aca="false">IFERROR(INDEX('Agent Roster'!$D:$D,MATCH(B825,'Agent Roster'!$A:$A,0)),"UNASSIGNED")</f>
        <v>Orchestration &amp; Diagnostics</v>
      </c>
      <c r="E825" s="19" t="s">
        <v>4110</v>
      </c>
      <c r="F825" s="19" t="s">
        <v>4111</v>
      </c>
      <c r="G825" s="19" t="s">
        <v>3513</v>
      </c>
      <c r="H825" s="19" t="s">
        <v>4098</v>
      </c>
      <c r="I825" s="19" t="s">
        <v>4099</v>
      </c>
      <c r="J825" s="19" t="s">
        <v>4100</v>
      </c>
      <c r="K825" s="19" t="s">
        <v>4101</v>
      </c>
      <c r="L825" s="19" t="s">
        <v>4102</v>
      </c>
      <c r="M825" s="19" t="s">
        <v>65</v>
      </c>
      <c r="N825" s="19"/>
      <c r="O825" s="19" t="s">
        <v>3517</v>
      </c>
    </row>
    <row r="826" customFormat="false" ht="22.35" hidden="false" customHeight="false" outlineLevel="0" collapsed="false">
      <c r="A826" s="19" t="s">
        <v>4112</v>
      </c>
      <c r="B826" s="19" t="s">
        <v>153</v>
      </c>
      <c r="C826" s="19" t="str">
        <f aca="false">IFERROR(INDEX('Agent Roster'!$B:$B,MATCH(B826,'Agent Roster'!$A:$A,0)),"UNASSIGNED")</f>
        <v>Algorithm Router (Master Meta-Algorithm)</v>
      </c>
      <c r="D826" s="19" t="str">
        <f aca="false">IFERROR(INDEX('Agent Roster'!$D:$D,MATCH(B826,'Agent Roster'!$A:$A,0)),"UNASSIGNED")</f>
        <v>Orchestration &amp; Diagnostics</v>
      </c>
      <c r="E826" s="19" t="s">
        <v>4113</v>
      </c>
      <c r="F826" s="19" t="s">
        <v>4114</v>
      </c>
      <c r="G826" s="19" t="s">
        <v>3513</v>
      </c>
      <c r="H826" s="19" t="s">
        <v>4098</v>
      </c>
      <c r="I826" s="19" t="s">
        <v>4099</v>
      </c>
      <c r="J826" s="19" t="s">
        <v>4100</v>
      </c>
      <c r="K826" s="19" t="s">
        <v>4101</v>
      </c>
      <c r="L826" s="19" t="s">
        <v>4102</v>
      </c>
      <c r="M826" s="19" t="s">
        <v>65</v>
      </c>
      <c r="N826" s="19"/>
      <c r="O826" s="19" t="s">
        <v>3517</v>
      </c>
    </row>
    <row r="827" customFormat="false" ht="22.35" hidden="false" customHeight="false" outlineLevel="0" collapsed="false">
      <c r="A827" s="19" t="s">
        <v>4115</v>
      </c>
      <c r="B827" s="19" t="s">
        <v>153</v>
      </c>
      <c r="C827" s="19" t="str">
        <f aca="false">IFERROR(INDEX('Agent Roster'!$B:$B,MATCH(B827,'Agent Roster'!$A:$A,0)),"UNASSIGNED")</f>
        <v>Algorithm Router (Master Meta-Algorithm)</v>
      </c>
      <c r="D827" s="19" t="str">
        <f aca="false">IFERROR(INDEX('Agent Roster'!$D:$D,MATCH(B827,'Agent Roster'!$A:$A,0)),"UNASSIGNED")</f>
        <v>Orchestration &amp; Diagnostics</v>
      </c>
      <c r="E827" s="19" t="s">
        <v>4116</v>
      </c>
      <c r="F827" s="19" t="s">
        <v>4117</v>
      </c>
      <c r="G827" s="19" t="s">
        <v>3513</v>
      </c>
      <c r="H827" s="19" t="s">
        <v>4098</v>
      </c>
      <c r="I827" s="19" t="s">
        <v>4099</v>
      </c>
      <c r="J827" s="19" t="s">
        <v>4100</v>
      </c>
      <c r="K827" s="19" t="s">
        <v>4101</v>
      </c>
      <c r="L827" s="19" t="s">
        <v>4102</v>
      </c>
      <c r="M827" s="19" t="s">
        <v>65</v>
      </c>
      <c r="N827" s="19"/>
      <c r="O827" s="19" t="s">
        <v>3517</v>
      </c>
    </row>
    <row r="828" customFormat="false" ht="22.35" hidden="false" customHeight="false" outlineLevel="0" collapsed="false">
      <c r="A828" s="19" t="s">
        <v>4118</v>
      </c>
      <c r="B828" s="19" t="s">
        <v>153</v>
      </c>
      <c r="C828" s="19" t="str">
        <f aca="false">IFERROR(INDEX('Agent Roster'!$B:$B,MATCH(B828,'Agent Roster'!$A:$A,0)),"UNASSIGNED")</f>
        <v>Algorithm Router (Master Meta-Algorithm)</v>
      </c>
      <c r="D828" s="19" t="str">
        <f aca="false">IFERROR(INDEX('Agent Roster'!$D:$D,MATCH(B828,'Agent Roster'!$A:$A,0)),"UNASSIGNED")</f>
        <v>Orchestration &amp; Diagnostics</v>
      </c>
      <c r="E828" s="19" t="s">
        <v>4119</v>
      </c>
      <c r="F828" s="19" t="s">
        <v>4120</v>
      </c>
      <c r="G828" s="19" t="s">
        <v>3513</v>
      </c>
      <c r="H828" s="19" t="s">
        <v>4098</v>
      </c>
      <c r="I828" s="19" t="s">
        <v>4099</v>
      </c>
      <c r="J828" s="19" t="s">
        <v>4100</v>
      </c>
      <c r="K828" s="19" t="s">
        <v>4101</v>
      </c>
      <c r="L828" s="19" t="s">
        <v>4102</v>
      </c>
      <c r="M828" s="19" t="s">
        <v>65</v>
      </c>
      <c r="N828" s="19"/>
      <c r="O828" s="19" t="s">
        <v>3517</v>
      </c>
    </row>
    <row r="829" customFormat="false" ht="22.35" hidden="false" customHeight="false" outlineLevel="0" collapsed="false">
      <c r="A829" s="19" t="s">
        <v>4121</v>
      </c>
      <c r="B829" s="19" t="s">
        <v>153</v>
      </c>
      <c r="C829" s="19" t="str">
        <f aca="false">IFERROR(INDEX('Agent Roster'!$B:$B,MATCH(B829,'Agent Roster'!$A:$A,0)),"UNASSIGNED")</f>
        <v>Algorithm Router (Master Meta-Algorithm)</v>
      </c>
      <c r="D829" s="19" t="str">
        <f aca="false">IFERROR(INDEX('Agent Roster'!$D:$D,MATCH(B829,'Agent Roster'!$A:$A,0)),"UNASSIGNED")</f>
        <v>Orchestration &amp; Diagnostics</v>
      </c>
      <c r="E829" s="19" t="s">
        <v>4122</v>
      </c>
      <c r="F829" s="19" t="s">
        <v>4123</v>
      </c>
      <c r="G829" s="19" t="s">
        <v>3513</v>
      </c>
      <c r="H829" s="19" t="s">
        <v>4098</v>
      </c>
      <c r="I829" s="19" t="s">
        <v>4099</v>
      </c>
      <c r="J829" s="19" t="s">
        <v>4100</v>
      </c>
      <c r="K829" s="19" t="s">
        <v>4101</v>
      </c>
      <c r="L829" s="19" t="s">
        <v>4102</v>
      </c>
      <c r="M829" s="19" t="s">
        <v>65</v>
      </c>
      <c r="N829" s="19"/>
      <c r="O829" s="19" t="s">
        <v>3517</v>
      </c>
    </row>
    <row r="830" customFormat="false" ht="22.35" hidden="false" customHeight="false" outlineLevel="0" collapsed="false">
      <c r="A830" s="19" t="s">
        <v>4124</v>
      </c>
      <c r="B830" s="19" t="s">
        <v>153</v>
      </c>
      <c r="C830" s="19" t="str">
        <f aca="false">IFERROR(INDEX('Agent Roster'!$B:$B,MATCH(B830,'Agent Roster'!$A:$A,0)),"UNASSIGNED")</f>
        <v>Algorithm Router (Master Meta-Algorithm)</v>
      </c>
      <c r="D830" s="19" t="str">
        <f aca="false">IFERROR(INDEX('Agent Roster'!$D:$D,MATCH(B830,'Agent Roster'!$A:$A,0)),"UNASSIGNED")</f>
        <v>Orchestration &amp; Diagnostics</v>
      </c>
      <c r="E830" s="19" t="s">
        <v>4125</v>
      </c>
      <c r="F830" s="19" t="s">
        <v>4126</v>
      </c>
      <c r="G830" s="19" t="s">
        <v>3513</v>
      </c>
      <c r="H830" s="19" t="s">
        <v>4098</v>
      </c>
      <c r="I830" s="19" t="s">
        <v>4099</v>
      </c>
      <c r="J830" s="19" t="s">
        <v>4100</v>
      </c>
      <c r="K830" s="19" t="s">
        <v>4101</v>
      </c>
      <c r="L830" s="19" t="s">
        <v>4102</v>
      </c>
      <c r="M830" s="19" t="s">
        <v>65</v>
      </c>
      <c r="N830" s="19"/>
      <c r="O830" s="19" t="s">
        <v>3517</v>
      </c>
    </row>
    <row r="831" customFormat="false" ht="22.35" hidden="false" customHeight="false" outlineLevel="0" collapsed="false">
      <c r="A831" s="19" t="s">
        <v>4127</v>
      </c>
      <c r="B831" s="19" t="s">
        <v>153</v>
      </c>
      <c r="C831" s="19" t="str">
        <f aca="false">IFERROR(INDEX('Agent Roster'!$B:$B,MATCH(B831,'Agent Roster'!$A:$A,0)),"UNASSIGNED")</f>
        <v>Algorithm Router (Master Meta-Algorithm)</v>
      </c>
      <c r="D831" s="19" t="str">
        <f aca="false">IFERROR(INDEX('Agent Roster'!$D:$D,MATCH(B831,'Agent Roster'!$A:$A,0)),"UNASSIGNED")</f>
        <v>Orchestration &amp; Diagnostics</v>
      </c>
      <c r="E831" s="19" t="s">
        <v>4128</v>
      </c>
      <c r="F831" s="19" t="s">
        <v>4129</v>
      </c>
      <c r="G831" s="19" t="s">
        <v>3513</v>
      </c>
      <c r="H831" s="19" t="s">
        <v>4098</v>
      </c>
      <c r="I831" s="19" t="s">
        <v>4099</v>
      </c>
      <c r="J831" s="19" t="s">
        <v>4100</v>
      </c>
      <c r="K831" s="19" t="s">
        <v>4101</v>
      </c>
      <c r="L831" s="19" t="s">
        <v>4102</v>
      </c>
      <c r="M831" s="19" t="s">
        <v>65</v>
      </c>
      <c r="N831" s="19"/>
      <c r="O831" s="19" t="s">
        <v>3517</v>
      </c>
    </row>
    <row r="832" customFormat="false" ht="22.35" hidden="false" customHeight="false" outlineLevel="0" collapsed="false">
      <c r="A832" s="19" t="s">
        <v>4130</v>
      </c>
      <c r="B832" s="19" t="s">
        <v>153</v>
      </c>
      <c r="C832" s="19" t="str">
        <f aca="false">IFERROR(INDEX('Agent Roster'!$B:$B,MATCH(B832,'Agent Roster'!$A:$A,0)),"UNASSIGNED")</f>
        <v>Algorithm Router (Master Meta-Algorithm)</v>
      </c>
      <c r="D832" s="19" t="str">
        <f aca="false">IFERROR(INDEX('Agent Roster'!$D:$D,MATCH(B832,'Agent Roster'!$A:$A,0)),"UNASSIGNED")</f>
        <v>Orchestration &amp; Diagnostics</v>
      </c>
      <c r="E832" s="19" t="s">
        <v>4131</v>
      </c>
      <c r="F832" s="19" t="s">
        <v>4132</v>
      </c>
      <c r="G832" s="19" t="s">
        <v>3513</v>
      </c>
      <c r="H832" s="19" t="s">
        <v>4098</v>
      </c>
      <c r="I832" s="19" t="s">
        <v>4099</v>
      </c>
      <c r="J832" s="19" t="s">
        <v>4100</v>
      </c>
      <c r="K832" s="19" t="s">
        <v>4101</v>
      </c>
      <c r="L832" s="19" t="s">
        <v>4102</v>
      </c>
      <c r="M832" s="19" t="s">
        <v>65</v>
      </c>
      <c r="N832" s="19"/>
      <c r="O832" s="19" t="s">
        <v>3517</v>
      </c>
    </row>
    <row r="833" customFormat="false" ht="22.35" hidden="false" customHeight="false" outlineLevel="0" collapsed="false">
      <c r="A833" s="19" t="s">
        <v>4133</v>
      </c>
      <c r="B833" s="19" t="s">
        <v>153</v>
      </c>
      <c r="C833" s="19" t="str">
        <f aca="false">IFERROR(INDEX('Agent Roster'!$B:$B,MATCH(B833,'Agent Roster'!$A:$A,0)),"UNASSIGNED")</f>
        <v>Algorithm Router (Master Meta-Algorithm)</v>
      </c>
      <c r="D833" s="19" t="str">
        <f aca="false">IFERROR(INDEX('Agent Roster'!$D:$D,MATCH(B833,'Agent Roster'!$A:$A,0)),"UNASSIGNED")</f>
        <v>Orchestration &amp; Diagnostics</v>
      </c>
      <c r="E833" s="19" t="s">
        <v>4134</v>
      </c>
      <c r="F833" s="19" t="s">
        <v>4135</v>
      </c>
      <c r="G833" s="19" t="s">
        <v>3513</v>
      </c>
      <c r="H833" s="19" t="s">
        <v>4098</v>
      </c>
      <c r="I833" s="19" t="s">
        <v>4099</v>
      </c>
      <c r="J833" s="19" t="s">
        <v>4100</v>
      </c>
      <c r="K833" s="19" t="s">
        <v>4101</v>
      </c>
      <c r="L833" s="19" t="s">
        <v>4102</v>
      </c>
      <c r="M833" s="19" t="s">
        <v>65</v>
      </c>
      <c r="N833" s="19"/>
      <c r="O833" s="19" t="s">
        <v>3517</v>
      </c>
    </row>
    <row r="834" customFormat="false" ht="22.35" hidden="false" customHeight="false" outlineLevel="0" collapsed="false">
      <c r="A834" s="19" t="s">
        <v>4136</v>
      </c>
      <c r="B834" s="19" t="s">
        <v>65</v>
      </c>
      <c r="C834" s="19" t="str">
        <f aca="false">IFERROR(INDEX('Agent Roster'!$B:$B,MATCH(B834,'Agent Roster'!$A:$A,0)),"UNASSIGNED")</f>
        <v>Container Agent (Forcing Test classifier · Layer ⊙)</v>
      </c>
      <c r="D834" s="19" t="str">
        <f aca="false">IFERROR(INDEX('Agent Roster'!$D:$D,MATCH(B834,'Agent Roster'!$A:$A,0)),"UNASSIGNED")</f>
        <v>Governance &amp; Meta-Tier</v>
      </c>
      <c r="E834" s="19" t="s">
        <v>4137</v>
      </c>
      <c r="F834" s="19" t="s">
        <v>4138</v>
      </c>
      <c r="G834" s="19" t="s">
        <v>3513</v>
      </c>
      <c r="H834" s="19" t="s">
        <v>4139</v>
      </c>
      <c r="I834" s="19" t="s">
        <v>4140</v>
      </c>
      <c r="J834" s="19" t="s">
        <v>4141</v>
      </c>
      <c r="K834" s="19" t="s">
        <v>4142</v>
      </c>
      <c r="L834" s="19" t="s">
        <v>4143</v>
      </c>
      <c r="M834" s="19" t="s">
        <v>91</v>
      </c>
      <c r="N834" s="19" t="s">
        <v>4144</v>
      </c>
      <c r="O834" s="19" t="s">
        <v>4145</v>
      </c>
    </row>
    <row r="835" customFormat="false" ht="22.35" hidden="false" customHeight="false" outlineLevel="0" collapsed="false">
      <c r="A835" s="19" t="s">
        <v>4146</v>
      </c>
      <c r="B835" s="19" t="s">
        <v>65</v>
      </c>
      <c r="C835" s="19" t="str">
        <f aca="false">IFERROR(INDEX('Agent Roster'!$B:$B,MATCH(B835,'Agent Roster'!$A:$A,0)),"UNASSIGNED")</f>
        <v>Container Agent (Forcing Test classifier · Layer ⊙)</v>
      </c>
      <c r="D835" s="19" t="str">
        <f aca="false">IFERROR(INDEX('Agent Roster'!$D:$D,MATCH(B835,'Agent Roster'!$A:$A,0)),"UNASSIGNED")</f>
        <v>Governance &amp; Meta-Tier</v>
      </c>
      <c r="E835" s="19" t="s">
        <v>4147</v>
      </c>
      <c r="F835" s="19" t="s">
        <v>4148</v>
      </c>
      <c r="G835" s="19" t="s">
        <v>3513</v>
      </c>
      <c r="H835" s="19" t="s">
        <v>4139</v>
      </c>
      <c r="I835" s="19" t="s">
        <v>4140</v>
      </c>
      <c r="J835" s="19" t="s">
        <v>4141</v>
      </c>
      <c r="K835" s="19" t="s">
        <v>4142</v>
      </c>
      <c r="L835" s="19" t="s">
        <v>4143</v>
      </c>
      <c r="M835" s="19" t="s">
        <v>91</v>
      </c>
      <c r="N835" s="19" t="s">
        <v>4144</v>
      </c>
      <c r="O835" s="19" t="s">
        <v>4145</v>
      </c>
    </row>
    <row r="836" customFormat="false" ht="22.35" hidden="false" customHeight="false" outlineLevel="0" collapsed="false">
      <c r="A836" s="19" t="s">
        <v>4149</v>
      </c>
      <c r="B836" s="19" t="s">
        <v>65</v>
      </c>
      <c r="C836" s="19" t="str">
        <f aca="false">IFERROR(INDEX('Agent Roster'!$B:$B,MATCH(B836,'Agent Roster'!$A:$A,0)),"UNASSIGNED")</f>
        <v>Container Agent (Forcing Test classifier · Layer ⊙)</v>
      </c>
      <c r="D836" s="19" t="str">
        <f aca="false">IFERROR(INDEX('Agent Roster'!$D:$D,MATCH(B836,'Agent Roster'!$A:$A,0)),"UNASSIGNED")</f>
        <v>Governance &amp; Meta-Tier</v>
      </c>
      <c r="E836" s="19" t="s">
        <v>4150</v>
      </c>
      <c r="F836" s="19" t="s">
        <v>4151</v>
      </c>
      <c r="G836" s="19" t="s">
        <v>3513</v>
      </c>
      <c r="H836" s="19" t="s">
        <v>4139</v>
      </c>
      <c r="I836" s="19" t="s">
        <v>4140</v>
      </c>
      <c r="J836" s="19" t="s">
        <v>4141</v>
      </c>
      <c r="K836" s="19" t="s">
        <v>4142</v>
      </c>
      <c r="L836" s="19" t="s">
        <v>4143</v>
      </c>
      <c r="M836" s="19" t="s">
        <v>91</v>
      </c>
      <c r="N836" s="19" t="s">
        <v>4144</v>
      </c>
      <c r="O836" s="19" t="s">
        <v>4145</v>
      </c>
    </row>
    <row r="837" customFormat="false" ht="22.35" hidden="false" customHeight="false" outlineLevel="0" collapsed="false">
      <c r="A837" s="19" t="s">
        <v>4152</v>
      </c>
      <c r="B837" s="19" t="s">
        <v>65</v>
      </c>
      <c r="C837" s="19" t="str">
        <f aca="false">IFERROR(INDEX('Agent Roster'!$B:$B,MATCH(B837,'Agent Roster'!$A:$A,0)),"UNASSIGNED")</f>
        <v>Container Agent (Forcing Test classifier · Layer ⊙)</v>
      </c>
      <c r="D837" s="19" t="str">
        <f aca="false">IFERROR(INDEX('Agent Roster'!$D:$D,MATCH(B837,'Agent Roster'!$A:$A,0)),"UNASSIGNED")</f>
        <v>Governance &amp; Meta-Tier</v>
      </c>
      <c r="E837" s="19" t="s">
        <v>4153</v>
      </c>
      <c r="F837" s="19" t="s">
        <v>4154</v>
      </c>
      <c r="G837" s="19" t="s">
        <v>3513</v>
      </c>
      <c r="H837" s="19" t="s">
        <v>4139</v>
      </c>
      <c r="I837" s="19" t="s">
        <v>4140</v>
      </c>
      <c r="J837" s="19" t="s">
        <v>4141</v>
      </c>
      <c r="K837" s="19" t="s">
        <v>4142</v>
      </c>
      <c r="L837" s="19" t="s">
        <v>4143</v>
      </c>
      <c r="M837" s="19" t="s">
        <v>91</v>
      </c>
      <c r="N837" s="19" t="s">
        <v>4144</v>
      </c>
      <c r="O837" s="19" t="s">
        <v>4145</v>
      </c>
    </row>
    <row r="838" customFormat="false" ht="22.35" hidden="false" customHeight="false" outlineLevel="0" collapsed="false">
      <c r="A838" s="19" t="s">
        <v>4155</v>
      </c>
      <c r="B838" s="19" t="s">
        <v>65</v>
      </c>
      <c r="C838" s="19" t="str">
        <f aca="false">IFERROR(INDEX('Agent Roster'!$B:$B,MATCH(B838,'Agent Roster'!$A:$A,0)),"UNASSIGNED")</f>
        <v>Container Agent (Forcing Test classifier · Layer ⊙)</v>
      </c>
      <c r="D838" s="19" t="str">
        <f aca="false">IFERROR(INDEX('Agent Roster'!$D:$D,MATCH(B838,'Agent Roster'!$A:$A,0)),"UNASSIGNED")</f>
        <v>Governance &amp; Meta-Tier</v>
      </c>
      <c r="E838" s="19" t="s">
        <v>4156</v>
      </c>
      <c r="F838" s="19" t="s">
        <v>4157</v>
      </c>
      <c r="G838" s="19" t="s">
        <v>3513</v>
      </c>
      <c r="H838" s="19" t="s">
        <v>4139</v>
      </c>
      <c r="I838" s="19" t="s">
        <v>4140</v>
      </c>
      <c r="J838" s="19" t="s">
        <v>4141</v>
      </c>
      <c r="K838" s="19" t="s">
        <v>4142</v>
      </c>
      <c r="L838" s="19" t="s">
        <v>4143</v>
      </c>
      <c r="M838" s="19" t="s">
        <v>91</v>
      </c>
      <c r="N838" s="19" t="s">
        <v>4144</v>
      </c>
      <c r="O838" s="19" t="s">
        <v>4145</v>
      </c>
    </row>
    <row r="839" customFormat="false" ht="22.35" hidden="false" customHeight="false" outlineLevel="0" collapsed="false">
      <c r="A839" s="19" t="s">
        <v>4158</v>
      </c>
      <c r="B839" s="19" t="s">
        <v>65</v>
      </c>
      <c r="C839" s="19" t="str">
        <f aca="false">IFERROR(INDEX('Agent Roster'!$B:$B,MATCH(B839,'Agent Roster'!$A:$A,0)),"UNASSIGNED")</f>
        <v>Container Agent (Forcing Test classifier · Layer ⊙)</v>
      </c>
      <c r="D839" s="19" t="str">
        <f aca="false">IFERROR(INDEX('Agent Roster'!$D:$D,MATCH(B839,'Agent Roster'!$A:$A,0)),"UNASSIGNED")</f>
        <v>Governance &amp; Meta-Tier</v>
      </c>
      <c r="E839" s="19" t="s">
        <v>4159</v>
      </c>
      <c r="F839" s="19" t="s">
        <v>4160</v>
      </c>
      <c r="G839" s="19" t="s">
        <v>3513</v>
      </c>
      <c r="H839" s="19" t="s">
        <v>4139</v>
      </c>
      <c r="I839" s="19" t="s">
        <v>4140</v>
      </c>
      <c r="J839" s="19" t="s">
        <v>4141</v>
      </c>
      <c r="K839" s="19" t="s">
        <v>4142</v>
      </c>
      <c r="L839" s="19" t="s">
        <v>4143</v>
      </c>
      <c r="M839" s="19" t="s">
        <v>91</v>
      </c>
      <c r="N839" s="19" t="s">
        <v>4144</v>
      </c>
      <c r="O839" s="19" t="s">
        <v>4145</v>
      </c>
    </row>
    <row r="840" customFormat="false" ht="22.35" hidden="false" customHeight="false" outlineLevel="0" collapsed="false">
      <c r="A840" s="19" t="s">
        <v>4161</v>
      </c>
      <c r="B840" s="19" t="s">
        <v>65</v>
      </c>
      <c r="C840" s="19" t="str">
        <f aca="false">IFERROR(INDEX('Agent Roster'!$B:$B,MATCH(B840,'Agent Roster'!$A:$A,0)),"UNASSIGNED")</f>
        <v>Container Agent (Forcing Test classifier · Layer ⊙)</v>
      </c>
      <c r="D840" s="19" t="str">
        <f aca="false">IFERROR(INDEX('Agent Roster'!$D:$D,MATCH(B840,'Agent Roster'!$A:$A,0)),"UNASSIGNED")</f>
        <v>Governance &amp; Meta-Tier</v>
      </c>
      <c r="E840" s="19" t="s">
        <v>4162</v>
      </c>
      <c r="F840" s="19" t="s">
        <v>4163</v>
      </c>
      <c r="G840" s="19" t="s">
        <v>3513</v>
      </c>
      <c r="H840" s="19" t="s">
        <v>4139</v>
      </c>
      <c r="I840" s="19" t="s">
        <v>4140</v>
      </c>
      <c r="J840" s="19" t="s">
        <v>4141</v>
      </c>
      <c r="K840" s="19" t="s">
        <v>4142</v>
      </c>
      <c r="L840" s="19" t="s">
        <v>4143</v>
      </c>
      <c r="M840" s="19" t="s">
        <v>91</v>
      </c>
      <c r="N840" s="19" t="s">
        <v>4144</v>
      </c>
      <c r="O840" s="19" t="s">
        <v>4145</v>
      </c>
    </row>
    <row r="841" customFormat="false" ht="22.35" hidden="false" customHeight="false" outlineLevel="0" collapsed="false">
      <c r="A841" s="19" t="s">
        <v>4164</v>
      </c>
      <c r="B841" s="19" t="s">
        <v>91</v>
      </c>
      <c r="C841" s="19" t="str">
        <f aca="false">IFERROR(INDEX('Agent Roster'!$B:$B,MATCH(B841,'Agent Roster'!$A:$A,0)),"UNASSIGNED")</f>
        <v>Variable Registry Keeper</v>
      </c>
      <c r="D841" s="19" t="str">
        <f aca="false">IFERROR(INDEX('Agent Roster'!$D:$D,MATCH(B841,'Agent Roster'!$A:$A,0)),"UNASSIGNED")</f>
        <v>Governance &amp; Meta-Tier</v>
      </c>
      <c r="E841" s="19" t="s">
        <v>4165</v>
      </c>
      <c r="F841" s="19" t="s">
        <v>4166</v>
      </c>
      <c r="G841" s="19" t="s">
        <v>3513</v>
      </c>
      <c r="H841" s="19" t="s">
        <v>4167</v>
      </c>
      <c r="I841" s="19" t="s">
        <v>4168</v>
      </c>
      <c r="J841" s="19" t="s">
        <v>1068</v>
      </c>
      <c r="K841" s="19" t="s">
        <v>4169</v>
      </c>
      <c r="L841" s="19" t="s">
        <v>4170</v>
      </c>
      <c r="M841" s="19" t="s">
        <v>65</v>
      </c>
      <c r="N841" s="19" t="s">
        <v>4171</v>
      </c>
      <c r="O841" s="19" t="s">
        <v>3517</v>
      </c>
    </row>
    <row r="842" customFormat="false" ht="22.35" hidden="false" customHeight="false" outlineLevel="0" collapsed="false">
      <c r="A842" s="19" t="s">
        <v>4172</v>
      </c>
      <c r="B842" s="19" t="s">
        <v>91</v>
      </c>
      <c r="C842" s="19" t="str">
        <f aca="false">IFERROR(INDEX('Agent Roster'!$B:$B,MATCH(B842,'Agent Roster'!$A:$A,0)),"UNASSIGNED")</f>
        <v>Variable Registry Keeper</v>
      </c>
      <c r="D842" s="19" t="str">
        <f aca="false">IFERROR(INDEX('Agent Roster'!$D:$D,MATCH(B842,'Agent Roster'!$A:$A,0)),"UNASSIGNED")</f>
        <v>Governance &amp; Meta-Tier</v>
      </c>
      <c r="E842" s="19" t="s">
        <v>4173</v>
      </c>
      <c r="F842" s="19" t="s">
        <v>4174</v>
      </c>
      <c r="G842" s="19" t="s">
        <v>3513</v>
      </c>
      <c r="H842" s="19" t="s">
        <v>4167</v>
      </c>
      <c r="I842" s="19" t="s">
        <v>4168</v>
      </c>
      <c r="J842" s="19" t="s">
        <v>1068</v>
      </c>
      <c r="K842" s="19" t="s">
        <v>4169</v>
      </c>
      <c r="L842" s="19" t="s">
        <v>4170</v>
      </c>
      <c r="M842" s="19" t="s">
        <v>65</v>
      </c>
      <c r="N842" s="19" t="s">
        <v>4171</v>
      </c>
      <c r="O842" s="19" t="s">
        <v>3517</v>
      </c>
    </row>
    <row r="843" customFormat="false" ht="22.35" hidden="false" customHeight="false" outlineLevel="0" collapsed="false">
      <c r="A843" s="19" t="s">
        <v>4175</v>
      </c>
      <c r="B843" s="19" t="s">
        <v>91</v>
      </c>
      <c r="C843" s="19" t="str">
        <f aca="false">IFERROR(INDEX('Agent Roster'!$B:$B,MATCH(B843,'Agent Roster'!$A:$A,0)),"UNASSIGNED")</f>
        <v>Variable Registry Keeper</v>
      </c>
      <c r="D843" s="19" t="str">
        <f aca="false">IFERROR(INDEX('Agent Roster'!$D:$D,MATCH(B843,'Agent Roster'!$A:$A,0)),"UNASSIGNED")</f>
        <v>Governance &amp; Meta-Tier</v>
      </c>
      <c r="E843" s="19" t="s">
        <v>4176</v>
      </c>
      <c r="F843" s="19" t="s">
        <v>4177</v>
      </c>
      <c r="G843" s="19" t="s">
        <v>3513</v>
      </c>
      <c r="H843" s="19" t="s">
        <v>4167</v>
      </c>
      <c r="I843" s="19" t="s">
        <v>4168</v>
      </c>
      <c r="J843" s="19" t="s">
        <v>1068</v>
      </c>
      <c r="K843" s="19" t="s">
        <v>4169</v>
      </c>
      <c r="L843" s="19" t="s">
        <v>4170</v>
      </c>
      <c r="M843" s="19" t="s">
        <v>65</v>
      </c>
      <c r="N843" s="19" t="s">
        <v>4171</v>
      </c>
      <c r="O843" s="19" t="s">
        <v>3517</v>
      </c>
    </row>
    <row r="844" customFormat="false" ht="22.35" hidden="false" customHeight="false" outlineLevel="0" collapsed="false">
      <c r="A844" s="19" t="s">
        <v>4178</v>
      </c>
      <c r="B844" s="19" t="s">
        <v>91</v>
      </c>
      <c r="C844" s="19" t="str">
        <f aca="false">IFERROR(INDEX('Agent Roster'!$B:$B,MATCH(B844,'Agent Roster'!$A:$A,0)),"UNASSIGNED")</f>
        <v>Variable Registry Keeper</v>
      </c>
      <c r="D844" s="19" t="str">
        <f aca="false">IFERROR(INDEX('Agent Roster'!$D:$D,MATCH(B844,'Agent Roster'!$A:$A,0)),"UNASSIGNED")</f>
        <v>Governance &amp; Meta-Tier</v>
      </c>
      <c r="E844" s="19" t="s">
        <v>4179</v>
      </c>
      <c r="F844" s="19" t="s">
        <v>4180</v>
      </c>
      <c r="G844" s="19" t="s">
        <v>3513</v>
      </c>
      <c r="H844" s="19" t="s">
        <v>4167</v>
      </c>
      <c r="I844" s="19" t="s">
        <v>4168</v>
      </c>
      <c r="J844" s="19" t="s">
        <v>1068</v>
      </c>
      <c r="K844" s="19" t="s">
        <v>4169</v>
      </c>
      <c r="L844" s="19" t="s">
        <v>4170</v>
      </c>
      <c r="M844" s="19" t="s">
        <v>65</v>
      </c>
      <c r="N844" s="19" t="s">
        <v>4171</v>
      </c>
      <c r="O844" s="19" t="s">
        <v>3517</v>
      </c>
    </row>
    <row r="845" customFormat="false" ht="22.35" hidden="false" customHeight="false" outlineLevel="0" collapsed="false">
      <c r="A845" s="19" t="s">
        <v>4181</v>
      </c>
      <c r="B845" s="19" t="s">
        <v>65</v>
      </c>
      <c r="C845" s="19" t="str">
        <f aca="false">IFERROR(INDEX('Agent Roster'!$B:$B,MATCH(B845,'Agent Roster'!$A:$A,0)),"UNASSIGNED")</f>
        <v>Container Agent (Forcing Test classifier · Layer ⊙)</v>
      </c>
      <c r="D845" s="19" t="str">
        <f aca="false">IFERROR(INDEX('Agent Roster'!$D:$D,MATCH(B845,'Agent Roster'!$A:$A,0)),"UNASSIGNED")</f>
        <v>Governance &amp; Meta-Tier</v>
      </c>
      <c r="E845" s="19" t="s">
        <v>4182</v>
      </c>
      <c r="F845" s="19" t="s">
        <v>4183</v>
      </c>
      <c r="G845" s="19" t="s">
        <v>3513</v>
      </c>
      <c r="H845" s="19" t="s">
        <v>4184</v>
      </c>
      <c r="I845" s="19" t="s">
        <v>4185</v>
      </c>
      <c r="J845" s="19" t="s">
        <v>4186</v>
      </c>
      <c r="K845" s="19" t="s">
        <v>4187</v>
      </c>
      <c r="L845" s="19" t="s">
        <v>4188</v>
      </c>
      <c r="M845" s="19" t="s">
        <v>91</v>
      </c>
      <c r="N845" s="19"/>
      <c r="O845" s="19" t="s">
        <v>3517</v>
      </c>
    </row>
    <row r="846" customFormat="false" ht="43.25" hidden="false" customHeight="false" outlineLevel="0" collapsed="false">
      <c r="A846" s="19" t="s">
        <v>4189</v>
      </c>
      <c r="B846" s="19" t="s">
        <v>47</v>
      </c>
      <c r="C846" s="19" t="str">
        <f aca="false">IFERROR(INDEX('Agent Roster'!$B:$B,MATCH(B846,'Agent Roster'!$A:$A,0)),"UNASSIGNED")</f>
        <v>Founder / Operator (HUMAN)</v>
      </c>
      <c r="D846" s="19" t="str">
        <f aca="false">IFERROR(INDEX('Agent Roster'!$D:$D,MATCH(B846,'Agent Roster'!$A:$A,0)),"UNASSIGNED")</f>
        <v>Governance &amp; Meta-Tier</v>
      </c>
      <c r="E846" s="19" t="s">
        <v>4190</v>
      </c>
      <c r="F846" s="19" t="s">
        <v>4191</v>
      </c>
      <c r="G846" s="19" t="s">
        <v>4192</v>
      </c>
      <c r="H846" s="19" t="s">
        <v>55</v>
      </c>
      <c r="I846" s="19" t="s">
        <v>64</v>
      </c>
      <c r="J846" s="19" t="s">
        <v>1068</v>
      </c>
      <c r="K846" s="19" t="s">
        <v>56</v>
      </c>
      <c r="L846" s="19" t="s">
        <v>57</v>
      </c>
      <c r="M846" s="19" t="s">
        <v>58</v>
      </c>
      <c r="N846" s="19" t="s">
        <v>60</v>
      </c>
      <c r="O846" s="19" t="s">
        <v>4193</v>
      </c>
    </row>
    <row r="847" customFormat="false" ht="43.25" hidden="false" customHeight="false" outlineLevel="0" collapsed="false">
      <c r="A847" s="19" t="s">
        <v>4194</v>
      </c>
      <c r="B847" s="19" t="s">
        <v>65</v>
      </c>
      <c r="C847" s="19" t="str">
        <f aca="false">IFERROR(INDEX('Agent Roster'!$B:$B,MATCH(B847,'Agent Roster'!$A:$A,0)),"UNASSIGNED")</f>
        <v>Container Agent (Forcing Test classifier · Layer ⊙)</v>
      </c>
      <c r="D847" s="19" t="str">
        <f aca="false">IFERROR(INDEX('Agent Roster'!$D:$D,MATCH(B847,'Agent Roster'!$A:$A,0)),"UNASSIGNED")</f>
        <v>Governance &amp; Meta-Tier</v>
      </c>
      <c r="E847" s="19" t="s">
        <v>4195</v>
      </c>
      <c r="F847" s="19" t="s">
        <v>4196</v>
      </c>
      <c r="G847" s="19" t="s">
        <v>4192</v>
      </c>
      <c r="H847" s="19" t="s">
        <v>69</v>
      </c>
      <c r="I847" s="19" t="s">
        <v>78</v>
      </c>
      <c r="J847" s="19" t="s">
        <v>1068</v>
      </c>
      <c r="K847" s="19" t="s">
        <v>70</v>
      </c>
      <c r="L847" s="19" t="s">
        <v>71</v>
      </c>
      <c r="M847" s="19" t="s">
        <v>72</v>
      </c>
      <c r="N847" s="19" t="s">
        <v>74</v>
      </c>
      <c r="O847" s="19" t="s">
        <v>4193</v>
      </c>
    </row>
    <row r="848" customFormat="false" ht="32.8" hidden="false" customHeight="false" outlineLevel="0" collapsed="false">
      <c r="A848" s="19" t="s">
        <v>4197</v>
      </c>
      <c r="B848" s="19" t="s">
        <v>79</v>
      </c>
      <c r="C848" s="19" t="str">
        <f aca="false">IFERROR(INDEX('Agent Roster'!$B:$B,MATCH(B848,'Agent Roster'!$A:$A,0)),"UNASSIGNED")</f>
        <v>Falsifiability Agent (Layer ◇)</v>
      </c>
      <c r="D848" s="19" t="str">
        <f aca="false">IFERROR(INDEX('Agent Roster'!$D:$D,MATCH(B848,'Agent Roster'!$A:$A,0)),"UNASSIGNED")</f>
        <v>Governance &amp; Meta-Tier</v>
      </c>
      <c r="E848" s="19" t="s">
        <v>4198</v>
      </c>
      <c r="F848" s="19" t="s">
        <v>4199</v>
      </c>
      <c r="G848" s="19" t="s">
        <v>4192</v>
      </c>
      <c r="H848" s="19" t="s">
        <v>82</v>
      </c>
      <c r="I848" s="19" t="s">
        <v>90</v>
      </c>
      <c r="J848" s="19" t="s">
        <v>1068</v>
      </c>
      <c r="K848" s="19" t="s">
        <v>83</v>
      </c>
      <c r="L848" s="19" t="s">
        <v>84</v>
      </c>
      <c r="M848" s="19" t="s">
        <v>85</v>
      </c>
      <c r="N848" s="19" t="s">
        <v>87</v>
      </c>
      <c r="O848" s="19" t="s">
        <v>4193</v>
      </c>
    </row>
    <row r="849" customFormat="false" ht="43.25" hidden="false" customHeight="false" outlineLevel="0" collapsed="false">
      <c r="A849" s="19" t="s">
        <v>4200</v>
      </c>
      <c r="B849" s="19" t="s">
        <v>91</v>
      </c>
      <c r="C849" s="19" t="str">
        <f aca="false">IFERROR(INDEX('Agent Roster'!$B:$B,MATCH(B849,'Agent Roster'!$A:$A,0)),"UNASSIGNED")</f>
        <v>Variable Registry Keeper</v>
      </c>
      <c r="D849" s="19" t="str">
        <f aca="false">IFERROR(INDEX('Agent Roster'!$D:$D,MATCH(B849,'Agent Roster'!$A:$A,0)),"UNASSIGNED")</f>
        <v>Governance &amp; Meta-Tier</v>
      </c>
      <c r="E849" s="19" t="s">
        <v>4201</v>
      </c>
      <c r="F849" s="19" t="s">
        <v>4202</v>
      </c>
      <c r="G849" s="19" t="s">
        <v>4192</v>
      </c>
      <c r="H849" s="19" t="s">
        <v>94</v>
      </c>
      <c r="I849" s="19" t="s">
        <v>102</v>
      </c>
      <c r="J849" s="19" t="s">
        <v>1068</v>
      </c>
      <c r="K849" s="19" t="s">
        <v>95</v>
      </c>
      <c r="L849" s="19" t="s">
        <v>96</v>
      </c>
      <c r="M849" s="19" t="s">
        <v>97</v>
      </c>
      <c r="N849" s="19" t="s">
        <v>99</v>
      </c>
      <c r="O849" s="19" t="s">
        <v>4193</v>
      </c>
    </row>
    <row r="850" customFormat="false" ht="32.8" hidden="false" customHeight="false" outlineLevel="0" collapsed="false">
      <c r="A850" s="19" t="s">
        <v>4203</v>
      </c>
      <c r="B850" s="19" t="s">
        <v>103</v>
      </c>
      <c r="C850" s="19" t="str">
        <f aca="false">IFERROR(INDEX('Agent Roster'!$B:$B,MATCH(B850,'Agent Roster'!$A:$A,0)),"UNASSIGNED")</f>
        <v>Framework Compliance Auditor</v>
      </c>
      <c r="D850" s="19" t="str">
        <f aca="false">IFERROR(INDEX('Agent Roster'!$D:$D,MATCH(B850,'Agent Roster'!$A:$A,0)),"UNASSIGNED")</f>
        <v>Governance &amp; Meta-Tier</v>
      </c>
      <c r="E850" s="19" t="s">
        <v>4204</v>
      </c>
      <c r="F850" s="19" t="s">
        <v>4205</v>
      </c>
      <c r="G850" s="19" t="s">
        <v>4192</v>
      </c>
      <c r="H850" s="19" t="s">
        <v>106</v>
      </c>
      <c r="I850" s="19" t="s">
        <v>113</v>
      </c>
      <c r="J850" s="19" t="s">
        <v>1068</v>
      </c>
      <c r="K850" s="19" t="s">
        <v>107</v>
      </c>
      <c r="L850" s="19" t="s">
        <v>108</v>
      </c>
      <c r="M850" s="19" t="s">
        <v>109</v>
      </c>
      <c r="N850" s="19"/>
      <c r="O850" s="19" t="s">
        <v>4193</v>
      </c>
    </row>
    <row r="851" customFormat="false" ht="43.25" hidden="false" customHeight="false" outlineLevel="0" collapsed="false">
      <c r="A851" s="19" t="s">
        <v>4206</v>
      </c>
      <c r="B851" s="19" t="s">
        <v>114</v>
      </c>
      <c r="C851" s="19" t="str">
        <f aca="false">IFERROR(INDEX('Agent Roster'!$B:$B,MATCH(B851,'Agent Roster'!$A:$A,0)),"UNASSIGNED")</f>
        <v>AI Alignment Agent (agent-fleet oversight)</v>
      </c>
      <c r="D851" s="19" t="str">
        <f aca="false">IFERROR(INDEX('Agent Roster'!$D:$D,MATCH(B851,'Agent Roster'!$A:$A,0)),"UNASSIGNED")</f>
        <v>Governance &amp; Meta-Tier</v>
      </c>
      <c r="E851" s="19" t="s">
        <v>4207</v>
      </c>
      <c r="F851" s="19" t="s">
        <v>4208</v>
      </c>
      <c r="G851" s="19" t="s">
        <v>4192</v>
      </c>
      <c r="H851" s="19" t="s">
        <v>117</v>
      </c>
      <c r="I851" s="19" t="s">
        <v>125</v>
      </c>
      <c r="J851" s="19" t="s">
        <v>1068</v>
      </c>
      <c r="K851" s="19" t="s">
        <v>118</v>
      </c>
      <c r="L851" s="19" t="s">
        <v>119</v>
      </c>
      <c r="M851" s="19" t="s">
        <v>120</v>
      </c>
      <c r="N851" s="19" t="s">
        <v>122</v>
      </c>
      <c r="O851" s="19" t="s">
        <v>4193</v>
      </c>
    </row>
    <row r="852" customFormat="false" ht="32.8" hidden="false" customHeight="false" outlineLevel="0" collapsed="false">
      <c r="A852" s="19" t="s">
        <v>4209</v>
      </c>
      <c r="B852" s="19" t="s">
        <v>126</v>
      </c>
      <c r="C852" s="19" t="str">
        <f aca="false">IFERROR(INDEX('Agent Roster'!$B:$B,MATCH(B852,'Agent Roster'!$A:$A,0)),"UNASSIGNED")</f>
        <v>Governance Designer (decision rights &amp; escalation)</v>
      </c>
      <c r="D852" s="19" t="str">
        <f aca="false">IFERROR(INDEX('Agent Roster'!$D:$D,MATCH(B852,'Agent Roster'!$A:$A,0)),"UNASSIGNED")</f>
        <v>Governance &amp; Meta-Tier</v>
      </c>
      <c r="E852" s="19" t="s">
        <v>4210</v>
      </c>
      <c r="F852" s="19" t="s">
        <v>4211</v>
      </c>
      <c r="G852" s="19" t="s">
        <v>4192</v>
      </c>
      <c r="H852" s="19" t="s">
        <v>129</v>
      </c>
      <c r="I852" s="19" t="s">
        <v>136</v>
      </c>
      <c r="J852" s="19" t="s">
        <v>1068</v>
      </c>
      <c r="K852" s="19" t="s">
        <v>130</v>
      </c>
      <c r="L852" s="19" t="s">
        <v>131</v>
      </c>
      <c r="M852" s="19" t="s">
        <v>132</v>
      </c>
      <c r="N852" s="19" t="s">
        <v>134</v>
      </c>
      <c r="O852" s="19" t="s">
        <v>4193</v>
      </c>
    </row>
    <row r="853" customFormat="false" ht="32.8" hidden="false" customHeight="false" outlineLevel="0" collapsed="false">
      <c r="A853" s="19" t="s">
        <v>4212</v>
      </c>
      <c r="B853" s="19" t="s">
        <v>137</v>
      </c>
      <c r="C853" s="19" t="str">
        <f aca="false">IFERROR(INDEX('Agent Roster'!$B:$B,MATCH(B853,'Agent Roster'!$A:$A,0)),"UNASSIGNED")</f>
        <v>Founder Performance Agent</v>
      </c>
      <c r="D853" s="19" t="str">
        <f aca="false">IFERROR(INDEX('Agent Roster'!$D:$D,MATCH(B853,'Agent Roster'!$A:$A,0)),"UNASSIGNED")</f>
        <v>Governance &amp; Meta-Tier</v>
      </c>
      <c r="E853" s="19" t="s">
        <v>4213</v>
      </c>
      <c r="F853" s="19" t="s">
        <v>4214</v>
      </c>
      <c r="G853" s="19" t="s">
        <v>4192</v>
      </c>
      <c r="H853" s="19" t="s">
        <v>140</v>
      </c>
      <c r="I853" s="19" t="s">
        <v>148</v>
      </c>
      <c r="J853" s="19" t="s">
        <v>1068</v>
      </c>
      <c r="K853" s="19" t="s">
        <v>141</v>
      </c>
      <c r="L853" s="19" t="s">
        <v>142</v>
      </c>
      <c r="M853" s="19" t="s">
        <v>47</v>
      </c>
      <c r="N853" s="19" t="s">
        <v>144</v>
      </c>
      <c r="O853" s="19" t="s">
        <v>4193</v>
      </c>
    </row>
    <row r="854" customFormat="false" ht="32.8" hidden="false" customHeight="false" outlineLevel="0" collapsed="false">
      <c r="A854" s="19" t="s">
        <v>4215</v>
      </c>
      <c r="B854" s="19" t="s">
        <v>149</v>
      </c>
      <c r="C854" s="19" t="str">
        <f aca="false">IFERROR(INDEX('Agent Roster'!$B:$B,MATCH(B854,'Agent Roster'!$A:$A,0)),"UNASSIGNED")</f>
        <v>Intake &amp; Triage Agent (Layer 0 Base Code)</v>
      </c>
      <c r="D854" s="19" t="str">
        <f aca="false">IFERROR(INDEX('Agent Roster'!$D:$D,MATCH(B854,'Agent Roster'!$A:$A,0)),"UNASSIGNED")</f>
        <v>Orchestration &amp; Diagnostics</v>
      </c>
      <c r="E854" s="19" t="s">
        <v>4216</v>
      </c>
      <c r="F854" s="19" t="s">
        <v>4217</v>
      </c>
      <c r="G854" s="19" t="s">
        <v>4192</v>
      </c>
      <c r="H854" s="19" t="s">
        <v>157</v>
      </c>
      <c r="I854" s="19" t="s">
        <v>163</v>
      </c>
      <c r="J854" s="19" t="s">
        <v>1068</v>
      </c>
      <c r="K854" s="19" t="s">
        <v>158</v>
      </c>
      <c r="L854" s="19" t="s">
        <v>159</v>
      </c>
      <c r="M854" s="19" t="s">
        <v>160</v>
      </c>
      <c r="N854" s="19"/>
      <c r="O854" s="19" t="s">
        <v>4193</v>
      </c>
    </row>
    <row r="855" customFormat="false" ht="43.25" hidden="false" customHeight="false" outlineLevel="0" collapsed="false">
      <c r="A855" s="19" t="s">
        <v>4218</v>
      </c>
      <c r="B855" s="19" t="s">
        <v>153</v>
      </c>
      <c r="C855" s="19" t="str">
        <f aca="false">IFERROR(INDEX('Agent Roster'!$B:$B,MATCH(B855,'Agent Roster'!$A:$A,0)),"UNASSIGNED")</f>
        <v>Algorithm Router (Master Meta-Algorithm)</v>
      </c>
      <c r="D855" s="19" t="str">
        <f aca="false">IFERROR(INDEX('Agent Roster'!$D:$D,MATCH(B855,'Agent Roster'!$A:$A,0)),"UNASSIGNED")</f>
        <v>Orchestration &amp; Diagnostics</v>
      </c>
      <c r="E855" s="19" t="s">
        <v>4219</v>
      </c>
      <c r="F855" s="19" t="s">
        <v>4220</v>
      </c>
      <c r="G855" s="19" t="s">
        <v>4192</v>
      </c>
      <c r="H855" s="19" t="s">
        <v>166</v>
      </c>
      <c r="I855" s="19" t="s">
        <v>173</v>
      </c>
      <c r="J855" s="19" t="s">
        <v>1068</v>
      </c>
      <c r="K855" s="19" t="s">
        <v>167</v>
      </c>
      <c r="L855" s="19" t="s">
        <v>168</v>
      </c>
      <c r="M855" s="19" t="s">
        <v>169</v>
      </c>
      <c r="N855" s="19" t="s">
        <v>171</v>
      </c>
      <c r="O855" s="19" t="s">
        <v>4193</v>
      </c>
    </row>
    <row r="856" customFormat="false" ht="32.8" hidden="false" customHeight="false" outlineLevel="0" collapsed="false">
      <c r="A856" s="19" t="s">
        <v>4221</v>
      </c>
      <c r="B856" s="19" t="s">
        <v>174</v>
      </c>
      <c r="C856" s="19" t="str">
        <f aca="false">IFERROR(INDEX('Agent Roster'!$B:$B,MATCH(B856,'Agent Roster'!$A:$A,0)),"UNASSIGNED")</f>
        <v>Shepherd's Way Cycle Controller (Layer VI)</v>
      </c>
      <c r="D856" s="19" t="str">
        <f aca="false">IFERROR(INDEX('Agent Roster'!$D:$D,MATCH(B856,'Agent Roster'!$A:$A,0)),"UNASSIGNED")</f>
        <v>Orchestration &amp; Diagnostics</v>
      </c>
      <c r="E856" s="19" t="s">
        <v>4222</v>
      </c>
      <c r="F856" s="19" t="s">
        <v>4223</v>
      </c>
      <c r="G856" s="19" t="s">
        <v>4192</v>
      </c>
      <c r="H856" s="19" t="s">
        <v>177</v>
      </c>
      <c r="I856" s="19" t="s">
        <v>186</v>
      </c>
      <c r="J856" s="19" t="s">
        <v>1068</v>
      </c>
      <c r="K856" s="19" t="s">
        <v>178</v>
      </c>
      <c r="L856" s="19" t="s">
        <v>179</v>
      </c>
      <c r="M856" s="19" t="s">
        <v>180</v>
      </c>
      <c r="N856" s="19" t="s">
        <v>183</v>
      </c>
      <c r="O856" s="19" t="s">
        <v>4193</v>
      </c>
    </row>
    <row r="857" customFormat="false" ht="43.25" hidden="false" customHeight="false" outlineLevel="0" collapsed="false">
      <c r="A857" s="19" t="s">
        <v>4224</v>
      </c>
      <c r="B857" s="19" t="s">
        <v>187</v>
      </c>
      <c r="C857" s="19" t="str">
        <f aca="false">IFERROR(INDEX('Agent Roster'!$B:$B,MATCH(B857,'Agent Roster'!$A:$A,0)),"UNASSIGNED")</f>
        <v>BEAS Auditor (Layer V Garlick Equilibrium)</v>
      </c>
      <c r="D857" s="19" t="str">
        <f aca="false">IFERROR(INDEX('Agent Roster'!$D:$D,MATCH(B857,'Agent Roster'!$A:$A,0)),"UNASSIGNED")</f>
        <v>Orchestration &amp; Diagnostics</v>
      </c>
      <c r="E857" s="19" t="s">
        <v>4225</v>
      </c>
      <c r="F857" s="19" t="s">
        <v>4226</v>
      </c>
      <c r="G857" s="19" t="s">
        <v>4192</v>
      </c>
      <c r="H857" s="19" t="s">
        <v>190</v>
      </c>
      <c r="I857" s="19" t="s">
        <v>198</v>
      </c>
      <c r="J857" s="19" t="s">
        <v>1068</v>
      </c>
      <c r="K857" s="19" t="s">
        <v>191</v>
      </c>
      <c r="L857" s="19" t="s">
        <v>192</v>
      </c>
      <c r="M857" s="19" t="s">
        <v>193</v>
      </c>
      <c r="N857" s="19" t="s">
        <v>195</v>
      </c>
      <c r="O857" s="19" t="s">
        <v>4193</v>
      </c>
    </row>
    <row r="858" customFormat="false" ht="32.8" hidden="false" customHeight="false" outlineLevel="0" collapsed="false">
      <c r="A858" s="19" t="s">
        <v>4227</v>
      </c>
      <c r="B858" s="19" t="s">
        <v>199</v>
      </c>
      <c r="C858" s="19" t="str">
        <f aca="false">IFERROR(INDEX('Agent Roster'!$B:$B,MATCH(B858,'Agent Roster'!$A:$A,0)),"UNASSIGNED")</f>
        <v>Three Kingdoms Diagnostician (Layer I)</v>
      </c>
      <c r="D858" s="19" t="str">
        <f aca="false">IFERROR(INDEX('Agent Roster'!$D:$D,MATCH(B858,'Agent Roster'!$A:$A,0)),"UNASSIGNED")</f>
        <v>Orchestration &amp; Diagnostics</v>
      </c>
      <c r="E858" s="19" t="s">
        <v>4228</v>
      </c>
      <c r="F858" s="19" t="s">
        <v>4229</v>
      </c>
      <c r="G858" s="19" t="s">
        <v>4192</v>
      </c>
      <c r="H858" s="19" t="s">
        <v>202</v>
      </c>
      <c r="I858" s="19" t="s">
        <v>209</v>
      </c>
      <c r="J858" s="19" t="s">
        <v>1068</v>
      </c>
      <c r="K858" s="19" t="s">
        <v>203</v>
      </c>
      <c r="L858" s="19" t="s">
        <v>204</v>
      </c>
      <c r="M858" s="19" t="s">
        <v>205</v>
      </c>
      <c r="N858" s="19" t="s">
        <v>207</v>
      </c>
      <c r="O858" s="19" t="s">
        <v>4193</v>
      </c>
    </row>
    <row r="859" customFormat="false" ht="22.35" hidden="false" customHeight="false" outlineLevel="0" collapsed="false">
      <c r="A859" s="19" t="s">
        <v>4230</v>
      </c>
      <c r="B859" s="19" t="s">
        <v>210</v>
      </c>
      <c r="C859" s="19" t="str">
        <f aca="false">IFERROR(INDEX('Agent Roster'!$B:$B,MATCH(B859,'Agent Roster'!$A:$A,0)),"UNASSIGNED")</f>
        <v>Hermetic Principles Auditor (Layer II)</v>
      </c>
      <c r="D859" s="19" t="str">
        <f aca="false">IFERROR(INDEX('Agent Roster'!$D:$D,MATCH(B859,'Agent Roster'!$A:$A,0)),"UNASSIGNED")</f>
        <v>Orchestration &amp; Diagnostics</v>
      </c>
      <c r="E859" s="19" t="s">
        <v>4231</v>
      </c>
      <c r="F859" s="19" t="s">
        <v>4232</v>
      </c>
      <c r="G859" s="19" t="s">
        <v>4192</v>
      </c>
      <c r="H859" s="19" t="s">
        <v>213</v>
      </c>
      <c r="I859" s="19" t="s">
        <v>219</v>
      </c>
      <c r="J859" s="19" t="s">
        <v>1068</v>
      </c>
      <c r="K859" s="19" t="s">
        <v>214</v>
      </c>
      <c r="L859" s="19" t="s">
        <v>215</v>
      </c>
      <c r="M859" s="19" t="s">
        <v>216</v>
      </c>
      <c r="N859" s="19"/>
      <c r="O859" s="19" t="s">
        <v>4193</v>
      </c>
    </row>
    <row r="860" customFormat="false" ht="32.8" hidden="false" customHeight="false" outlineLevel="0" collapsed="false">
      <c r="A860" s="19" t="s">
        <v>4233</v>
      </c>
      <c r="B860" s="19" t="s">
        <v>220</v>
      </c>
      <c r="C860" s="19" t="str">
        <f aca="false">IFERROR(INDEX('Agent Roster'!$B:$B,MATCH(B860,'Agent Roster'!$A:$A,0)),"UNASSIGNED")</f>
        <v>Dynamic Middle Balancer (Layer I.D)</v>
      </c>
      <c r="D860" s="19" t="str">
        <f aca="false">IFERROR(INDEX('Agent Roster'!$D:$D,MATCH(B860,'Agent Roster'!$A:$A,0)),"UNASSIGNED")</f>
        <v>Orchestration &amp; Diagnostics</v>
      </c>
      <c r="E860" s="19" t="s">
        <v>4234</v>
      </c>
      <c r="F860" s="19" t="s">
        <v>4235</v>
      </c>
      <c r="G860" s="19" t="s">
        <v>4192</v>
      </c>
      <c r="H860" s="19" t="s">
        <v>223</v>
      </c>
      <c r="I860" s="19" t="s">
        <v>229</v>
      </c>
      <c r="J860" s="19" t="s">
        <v>1068</v>
      </c>
      <c r="K860" s="19" t="s">
        <v>224</v>
      </c>
      <c r="L860" s="19" t="s">
        <v>225</v>
      </c>
      <c r="M860" s="19" t="s">
        <v>226</v>
      </c>
      <c r="N860" s="19"/>
      <c r="O860" s="19" t="s">
        <v>4193</v>
      </c>
    </row>
    <row r="861" customFormat="false" ht="43.25" hidden="false" customHeight="false" outlineLevel="0" collapsed="false">
      <c r="A861" s="19" t="s">
        <v>4236</v>
      </c>
      <c r="B861" s="19" t="s">
        <v>230</v>
      </c>
      <c r="C861" s="19" t="str">
        <f aca="false">IFERROR(INDEX('Agent Roster'!$B:$B,MATCH(B861,'Agent Roster'!$A:$A,0)),"UNASSIGNED")</f>
        <v>Momentum &amp; Energy Continuation Agent (Layer I.E)</v>
      </c>
      <c r="D861" s="19" t="str">
        <f aca="false">IFERROR(INDEX('Agent Roster'!$D:$D,MATCH(B861,'Agent Roster'!$A:$A,0)),"UNASSIGNED")</f>
        <v>Orchestration &amp; Diagnostics</v>
      </c>
      <c r="E861" s="19" t="s">
        <v>4237</v>
      </c>
      <c r="F861" s="19" t="s">
        <v>4238</v>
      </c>
      <c r="G861" s="19" t="s">
        <v>4192</v>
      </c>
      <c r="H861" s="19" t="s">
        <v>233</v>
      </c>
      <c r="I861" s="19" t="s">
        <v>239</v>
      </c>
      <c r="J861" s="19" t="s">
        <v>1068</v>
      </c>
      <c r="K861" s="19" t="s">
        <v>234</v>
      </c>
      <c r="L861" s="19" t="s">
        <v>235</v>
      </c>
      <c r="M861" s="19" t="s">
        <v>236</v>
      </c>
      <c r="N861" s="19"/>
      <c r="O861" s="19" t="s">
        <v>4193</v>
      </c>
    </row>
    <row r="862" customFormat="false" ht="43.25" hidden="false" customHeight="false" outlineLevel="0" collapsed="false">
      <c r="A862" s="19" t="s">
        <v>4239</v>
      </c>
      <c r="B862" s="19" t="s">
        <v>240</v>
      </c>
      <c r="C862" s="19" t="str">
        <f aca="false">IFERROR(INDEX('Agent Roster'!$B:$B,MATCH(B862,'Agent Roster'!$A:$A,0)),"UNASSIGNED")</f>
        <v>Observation &amp; Persistence Agent (Layer I.F)</v>
      </c>
      <c r="D862" s="19" t="str">
        <f aca="false">IFERROR(INDEX('Agent Roster'!$D:$D,MATCH(B862,'Agent Roster'!$A:$A,0)),"UNASSIGNED")</f>
        <v>Orchestration &amp; Diagnostics</v>
      </c>
      <c r="E862" s="19" t="s">
        <v>4240</v>
      </c>
      <c r="F862" s="19" t="s">
        <v>4241</v>
      </c>
      <c r="G862" s="19" t="s">
        <v>4192</v>
      </c>
      <c r="H862" s="19" t="s">
        <v>243</v>
      </c>
      <c r="I862" s="19" t="s">
        <v>250</v>
      </c>
      <c r="J862" s="19" t="s">
        <v>1068</v>
      </c>
      <c r="K862" s="19" t="s">
        <v>244</v>
      </c>
      <c r="L862" s="19" t="s">
        <v>245</v>
      </c>
      <c r="M862" s="19" t="s">
        <v>246</v>
      </c>
      <c r="N862" s="19"/>
      <c r="O862" s="19" t="s">
        <v>4193</v>
      </c>
    </row>
    <row r="863" customFormat="false" ht="32.8" hidden="false" customHeight="false" outlineLevel="0" collapsed="false">
      <c r="A863" s="19" t="s">
        <v>4242</v>
      </c>
      <c r="B863" s="19" t="s">
        <v>251</v>
      </c>
      <c r="C863" s="19" t="str">
        <f aca="false">IFERROR(INDEX('Agent Roster'!$B:$B,MATCH(B863,'Agent Roster'!$A:$A,0)),"UNASSIGNED")</f>
        <v>Capsule Integrator (Layer I.G post-mortems)</v>
      </c>
      <c r="D863" s="19" t="str">
        <f aca="false">IFERROR(INDEX('Agent Roster'!$D:$D,MATCH(B863,'Agent Roster'!$A:$A,0)),"UNASSIGNED")</f>
        <v>Orchestration &amp; Diagnostics</v>
      </c>
      <c r="E863" s="19" t="s">
        <v>4243</v>
      </c>
      <c r="F863" s="19" t="s">
        <v>4244</v>
      </c>
      <c r="G863" s="19" t="s">
        <v>4192</v>
      </c>
      <c r="H863" s="19" t="s">
        <v>254</v>
      </c>
      <c r="I863" s="19" t="s">
        <v>260</v>
      </c>
      <c r="J863" s="19" t="s">
        <v>1068</v>
      </c>
      <c r="K863" s="19" t="s">
        <v>255</v>
      </c>
      <c r="L863" s="19" t="s">
        <v>256</v>
      </c>
      <c r="M863" s="19" t="s">
        <v>257</v>
      </c>
      <c r="N863" s="19"/>
      <c r="O863" s="19" t="s">
        <v>4193</v>
      </c>
    </row>
    <row r="864" customFormat="false" ht="32.8" hidden="false" customHeight="false" outlineLevel="0" collapsed="false">
      <c r="A864" s="19" t="s">
        <v>4245</v>
      </c>
      <c r="B864" s="19" t="s">
        <v>261</v>
      </c>
      <c r="C864" s="19" t="str">
        <f aca="false">IFERROR(INDEX('Agent Roster'!$B:$B,MATCH(B864,'Agent Roster'!$A:$A,0)),"UNASSIGNED")</f>
        <v>Infrastructure Pillars Agent (Layer I.B)</v>
      </c>
      <c r="D864" s="19" t="str">
        <f aca="false">IFERROR(INDEX('Agent Roster'!$D:$D,MATCH(B864,'Agent Roster'!$A:$A,0)),"UNASSIGNED")</f>
        <v>Orchestration &amp; Diagnostics</v>
      </c>
      <c r="E864" s="19" t="s">
        <v>4246</v>
      </c>
      <c r="F864" s="19" t="s">
        <v>4247</v>
      </c>
      <c r="G864" s="19" t="s">
        <v>4192</v>
      </c>
      <c r="H864" s="19" t="s">
        <v>264</v>
      </c>
      <c r="I864" s="19" t="s">
        <v>271</v>
      </c>
      <c r="J864" s="19" t="s">
        <v>1068</v>
      </c>
      <c r="K864" s="19" t="s">
        <v>265</v>
      </c>
      <c r="L864" s="19" t="s">
        <v>266</v>
      </c>
      <c r="M864" s="19" t="s">
        <v>267</v>
      </c>
      <c r="N864" s="19" t="s">
        <v>269</v>
      </c>
      <c r="O864" s="19" t="s">
        <v>4193</v>
      </c>
    </row>
    <row r="865" customFormat="false" ht="32.8" hidden="false" customHeight="false" outlineLevel="0" collapsed="false">
      <c r="A865" s="19" t="s">
        <v>4248</v>
      </c>
      <c r="B865" s="19" t="s">
        <v>272</v>
      </c>
      <c r="C865" s="19" t="str">
        <f aca="false">IFERROR(INDEX('Agent Roster'!$B:$B,MATCH(B865,'Agent Roster'!$A:$A,0)),"UNASSIGNED")</f>
        <v>Process Cartographer (Layer I.C Universal Process Registry)</v>
      </c>
      <c r="D865" s="19" t="str">
        <f aca="false">IFERROR(INDEX('Agent Roster'!$D:$D,MATCH(B865,'Agent Roster'!$A:$A,0)),"UNASSIGNED")</f>
        <v>Orchestration &amp; Diagnostics</v>
      </c>
      <c r="E865" s="19" t="s">
        <v>4249</v>
      </c>
      <c r="F865" s="19" t="s">
        <v>4250</v>
      </c>
      <c r="G865" s="19" t="s">
        <v>4192</v>
      </c>
      <c r="H865" s="19" t="s">
        <v>275</v>
      </c>
      <c r="I865" s="19" t="s">
        <v>281</v>
      </c>
      <c r="J865" s="19" t="s">
        <v>1068</v>
      </c>
      <c r="K865" s="19" t="s">
        <v>276</v>
      </c>
      <c r="L865" s="19" t="s">
        <v>277</v>
      </c>
      <c r="M865" s="19" t="s">
        <v>278</v>
      </c>
      <c r="N865" s="19"/>
      <c r="O865" s="19" t="s">
        <v>4193</v>
      </c>
    </row>
    <row r="866" customFormat="false" ht="32.8" hidden="false" customHeight="false" outlineLevel="0" collapsed="false">
      <c r="A866" s="19" t="s">
        <v>4251</v>
      </c>
      <c r="B866" s="19" t="s">
        <v>282</v>
      </c>
      <c r="C866" s="19" t="str">
        <f aca="false">IFERROR(INDEX('Agent Roster'!$B:$B,MATCH(B866,'Agent Roster'!$A:$A,0)),"UNASSIGNED")</f>
        <v>Process Density Calibrator (Layer III)</v>
      </c>
      <c r="D866" s="19" t="str">
        <f aca="false">IFERROR(INDEX('Agent Roster'!$D:$D,MATCH(B866,'Agent Roster'!$A:$A,0)),"UNASSIGNED")</f>
        <v>Orchestration &amp; Diagnostics</v>
      </c>
      <c r="E866" s="19" t="s">
        <v>4252</v>
      </c>
      <c r="F866" s="19" t="s">
        <v>4253</v>
      </c>
      <c r="G866" s="19" t="s">
        <v>4192</v>
      </c>
      <c r="H866" s="19" t="s">
        <v>285</v>
      </c>
      <c r="I866" s="19" t="s">
        <v>291</v>
      </c>
      <c r="J866" s="19" t="s">
        <v>1068</v>
      </c>
      <c r="K866" s="19" t="s">
        <v>286</v>
      </c>
      <c r="L866" s="19" t="s">
        <v>287</v>
      </c>
      <c r="M866" s="19" t="s">
        <v>288</v>
      </c>
      <c r="N866" s="19"/>
      <c r="O866" s="19" t="s">
        <v>4193</v>
      </c>
    </row>
    <row r="867" customFormat="false" ht="22.35" hidden="false" customHeight="false" outlineLevel="0" collapsed="false">
      <c r="A867" s="19" t="s">
        <v>4254</v>
      </c>
      <c r="B867" s="19" t="s">
        <v>292</v>
      </c>
      <c r="C867" s="19" t="str">
        <f aca="false">IFERROR(INDEX('Agent Roster'!$B:$B,MATCH(B867,'Agent Roster'!$A:$A,0)),"UNASSIGNED")</f>
        <v>Knowledge Compounding Agent (Layer III+ Integration Density)</v>
      </c>
      <c r="D867" s="19" t="str">
        <f aca="false">IFERROR(INDEX('Agent Roster'!$D:$D,MATCH(B867,'Agent Roster'!$A:$A,0)),"UNASSIGNED")</f>
        <v>Orchestration &amp; Diagnostics</v>
      </c>
      <c r="E867" s="19" t="s">
        <v>4255</v>
      </c>
      <c r="F867" s="19" t="s">
        <v>4256</v>
      </c>
      <c r="G867" s="19" t="s">
        <v>4192</v>
      </c>
      <c r="H867" s="19" t="s">
        <v>295</v>
      </c>
      <c r="I867" s="19" t="s">
        <v>301</v>
      </c>
      <c r="J867" s="19" t="s">
        <v>1068</v>
      </c>
      <c r="K867" s="19" t="s">
        <v>296</v>
      </c>
      <c r="L867" s="19" t="s">
        <v>297</v>
      </c>
      <c r="M867" s="19" t="s">
        <v>298</v>
      </c>
      <c r="N867" s="19"/>
      <c r="O867" s="19" t="s">
        <v>4193</v>
      </c>
    </row>
    <row r="868" customFormat="false" ht="32.8" hidden="false" customHeight="false" outlineLevel="0" collapsed="false">
      <c r="A868" s="19" t="s">
        <v>4257</v>
      </c>
      <c r="B868" s="19" t="s">
        <v>302</v>
      </c>
      <c r="C868" s="19" t="str">
        <f aca="false">IFERROR(INDEX('Agent Roster'!$B:$B,MATCH(B868,'Agent Roster'!$A:$A,0)),"UNASSIGNED")</f>
        <v>Database &amp; Documentation Agent (Shepherd's Way Step 06)</v>
      </c>
      <c r="D868" s="19" t="str">
        <f aca="false">IFERROR(INDEX('Agent Roster'!$D:$D,MATCH(B868,'Agent Roster'!$A:$A,0)),"UNASSIGNED")</f>
        <v>Orchestration &amp; Diagnostics</v>
      </c>
      <c r="E868" s="19" t="s">
        <v>4258</v>
      </c>
      <c r="F868" s="19" t="s">
        <v>4259</v>
      </c>
      <c r="G868" s="19" t="s">
        <v>4192</v>
      </c>
      <c r="H868" s="19" t="s">
        <v>305</v>
      </c>
      <c r="I868" s="19" t="s">
        <v>313</v>
      </c>
      <c r="J868" s="19" t="s">
        <v>1068</v>
      </c>
      <c r="K868" s="19" t="s">
        <v>306</v>
      </c>
      <c r="L868" s="19" t="s">
        <v>307</v>
      </c>
      <c r="M868" s="19" t="s">
        <v>308</v>
      </c>
      <c r="N868" s="19"/>
      <c r="O868" s="19" t="s">
        <v>4193</v>
      </c>
    </row>
    <row r="869" customFormat="false" ht="32.8" hidden="false" customHeight="false" outlineLevel="0" collapsed="false">
      <c r="A869" s="19" t="s">
        <v>4260</v>
      </c>
      <c r="B869" s="19" t="s">
        <v>314</v>
      </c>
      <c r="C869" s="19" t="str">
        <f aca="false">IFERROR(INDEX('Agent Roster'!$B:$B,MATCH(B869,'Agent Roster'!$A:$A,0)),"UNASSIGNED")</f>
        <v>Decision Support Agent</v>
      </c>
      <c r="D869" s="19" t="str">
        <f aca="false">IFERROR(INDEX('Agent Roster'!$D:$D,MATCH(B869,'Agent Roster'!$A:$A,0)),"UNASSIGNED")</f>
        <v>Orchestration &amp; Diagnostics</v>
      </c>
      <c r="E869" s="19" t="s">
        <v>4261</v>
      </c>
      <c r="F869" s="19" t="s">
        <v>4262</v>
      </c>
      <c r="G869" s="19" t="s">
        <v>4192</v>
      </c>
      <c r="H869" s="19" t="s">
        <v>317</v>
      </c>
      <c r="I869" s="19" t="s">
        <v>324</v>
      </c>
      <c r="J869" s="19" t="s">
        <v>1068</v>
      </c>
      <c r="K869" s="19" t="s">
        <v>318</v>
      </c>
      <c r="L869" s="19" t="s">
        <v>319</v>
      </c>
      <c r="M869" s="19" t="s">
        <v>320</v>
      </c>
      <c r="N869" s="19" t="s">
        <v>322</v>
      </c>
      <c r="O869" s="19" t="s">
        <v>4193</v>
      </c>
    </row>
    <row r="870" customFormat="false" ht="32.8" hidden="false" customHeight="false" outlineLevel="0" collapsed="false">
      <c r="A870" s="19" t="s">
        <v>4263</v>
      </c>
      <c r="B870" s="19" t="s">
        <v>325</v>
      </c>
      <c r="C870" s="19" t="str">
        <f aca="false">IFERROR(INDEX('Agent Roster'!$B:$B,MATCH(B870,'Agent Roster'!$A:$A,0)),"UNASSIGNED")</f>
        <v>Problem-Solving Agent</v>
      </c>
      <c r="D870" s="19" t="str">
        <f aca="false">IFERROR(INDEX('Agent Roster'!$D:$D,MATCH(B870,'Agent Roster'!$A:$A,0)),"UNASSIGNED")</f>
        <v>Orchestration &amp; Diagnostics</v>
      </c>
      <c r="E870" s="19" t="s">
        <v>4264</v>
      </c>
      <c r="F870" s="19" t="s">
        <v>4265</v>
      </c>
      <c r="G870" s="19" t="s">
        <v>4192</v>
      </c>
      <c r="H870" s="19" t="s">
        <v>328</v>
      </c>
      <c r="I870" s="19" t="s">
        <v>335</v>
      </c>
      <c r="J870" s="19" t="s">
        <v>1068</v>
      </c>
      <c r="K870" s="19" t="s">
        <v>329</v>
      </c>
      <c r="L870" s="19" t="s">
        <v>330</v>
      </c>
      <c r="M870" s="19" t="s">
        <v>331</v>
      </c>
      <c r="N870" s="19" t="s">
        <v>333</v>
      </c>
      <c r="O870" s="19" t="s">
        <v>4193</v>
      </c>
    </row>
    <row r="871" customFormat="false" ht="32.8" hidden="false" customHeight="false" outlineLevel="0" collapsed="false">
      <c r="A871" s="19" t="s">
        <v>4266</v>
      </c>
      <c r="B871" s="19" t="s">
        <v>336</v>
      </c>
      <c r="C871" s="19" t="str">
        <f aca="false">IFERROR(INDEX('Agent Roster'!$B:$B,MATCH(B871,'Agent Roster'!$A:$A,0)),"UNASSIGNED")</f>
        <v>Critical Thinking / Claim Evaluator</v>
      </c>
      <c r="D871" s="19" t="str">
        <f aca="false">IFERROR(INDEX('Agent Roster'!$D:$D,MATCH(B871,'Agent Roster'!$A:$A,0)),"UNASSIGNED")</f>
        <v>Orchestration &amp; Diagnostics</v>
      </c>
      <c r="E871" s="19" t="s">
        <v>4267</v>
      </c>
      <c r="F871" s="19" t="s">
        <v>4268</v>
      </c>
      <c r="G871" s="19" t="s">
        <v>4192</v>
      </c>
      <c r="H871" s="19" t="s">
        <v>339</v>
      </c>
      <c r="I871" s="19" t="s">
        <v>345</v>
      </c>
      <c r="J871" s="19" t="s">
        <v>1068</v>
      </c>
      <c r="K871" s="19" t="s">
        <v>340</v>
      </c>
      <c r="L871" s="19" t="s">
        <v>341</v>
      </c>
      <c r="M871" s="19" t="s">
        <v>342</v>
      </c>
      <c r="N871" s="19"/>
      <c r="O871" s="19" t="s">
        <v>4193</v>
      </c>
    </row>
    <row r="872" customFormat="false" ht="32.8" hidden="false" customHeight="false" outlineLevel="0" collapsed="false">
      <c r="A872" s="19" t="s">
        <v>4269</v>
      </c>
      <c r="B872" s="19" t="s">
        <v>346</v>
      </c>
      <c r="C872" s="19" t="str">
        <f aca="false">IFERROR(INDEX('Agent Roster'!$B:$B,MATCH(B872,'Agent Roster'!$A:$A,0)),"UNASSIGNED")</f>
        <v>Crisis Coordinator</v>
      </c>
      <c r="D872" s="19" t="str">
        <f aca="false">IFERROR(INDEX('Agent Roster'!$D:$D,MATCH(B872,'Agent Roster'!$A:$A,0)),"UNASSIGNED")</f>
        <v>Orchestration &amp; Diagnostics</v>
      </c>
      <c r="E872" s="19" t="s">
        <v>4270</v>
      </c>
      <c r="F872" s="19" t="s">
        <v>4271</v>
      </c>
      <c r="G872" s="19" t="s">
        <v>4192</v>
      </c>
      <c r="H872" s="19" t="s">
        <v>349</v>
      </c>
      <c r="I872" s="19" t="s">
        <v>356</v>
      </c>
      <c r="J872" s="19" t="s">
        <v>1068</v>
      </c>
      <c r="K872" s="19" t="s">
        <v>350</v>
      </c>
      <c r="L872" s="19" t="s">
        <v>351</v>
      </c>
      <c r="M872" s="19" t="s">
        <v>352</v>
      </c>
      <c r="N872" s="19" t="s">
        <v>354</v>
      </c>
      <c r="O872" s="19" t="s">
        <v>4193</v>
      </c>
    </row>
    <row r="873" customFormat="false" ht="32.8" hidden="false" customHeight="false" outlineLevel="0" collapsed="false">
      <c r="A873" s="19" t="s">
        <v>4272</v>
      </c>
      <c r="B873" s="19" t="s">
        <v>357</v>
      </c>
      <c r="C873" s="19" t="str">
        <f aca="false">IFERROR(INDEX('Agent Roster'!$B:$B,MATCH(B873,'Agent Roster'!$A:$A,0)),"UNASSIGNED")</f>
        <v>Pattern Recognition Agent</v>
      </c>
      <c r="D873" s="19" t="str">
        <f aca="false">IFERROR(INDEX('Agent Roster'!$D:$D,MATCH(B873,'Agent Roster'!$A:$A,0)),"UNASSIGNED")</f>
        <v>Orchestration &amp; Diagnostics</v>
      </c>
      <c r="E873" s="19" t="s">
        <v>4273</v>
      </c>
      <c r="F873" s="19" t="s">
        <v>4274</v>
      </c>
      <c r="G873" s="19" t="s">
        <v>4192</v>
      </c>
      <c r="H873" s="19" t="s">
        <v>360</v>
      </c>
      <c r="I873" s="19" t="s">
        <v>367</v>
      </c>
      <c r="J873" s="19" t="s">
        <v>1068</v>
      </c>
      <c r="K873" s="19" t="s">
        <v>361</v>
      </c>
      <c r="L873" s="19" t="s">
        <v>362</v>
      </c>
      <c r="M873" s="19" t="s">
        <v>363</v>
      </c>
      <c r="N873" s="19"/>
      <c r="O873" s="19" t="s">
        <v>4193</v>
      </c>
    </row>
    <row r="874" customFormat="false" ht="32.8" hidden="false" customHeight="false" outlineLevel="0" collapsed="false">
      <c r="A874" s="19" t="s">
        <v>4275</v>
      </c>
      <c r="B874" s="19" t="s">
        <v>368</v>
      </c>
      <c r="C874" s="19" t="str">
        <f aca="false">IFERROR(INDEX('Agent Roster'!$B:$B,MATCH(B874,'Agent Roster'!$A:$A,0)),"UNASSIGNED")</f>
        <v>Synthesis Agent</v>
      </c>
      <c r="D874" s="19" t="str">
        <f aca="false">IFERROR(INDEX('Agent Roster'!$D:$D,MATCH(B874,'Agent Roster'!$A:$A,0)),"UNASSIGNED")</f>
        <v>Orchestration &amp; Diagnostics</v>
      </c>
      <c r="E874" s="19" t="s">
        <v>4276</v>
      </c>
      <c r="F874" s="19" t="s">
        <v>4277</v>
      </c>
      <c r="G874" s="19" t="s">
        <v>4192</v>
      </c>
      <c r="H874" s="19" t="s">
        <v>371</v>
      </c>
      <c r="I874" s="19" t="s">
        <v>377</v>
      </c>
      <c r="J874" s="19" t="s">
        <v>1068</v>
      </c>
      <c r="K874" s="19" t="s">
        <v>372</v>
      </c>
      <c r="L874" s="19" t="s">
        <v>373</v>
      </c>
      <c r="M874" s="19" t="s">
        <v>374</v>
      </c>
      <c r="N874" s="19"/>
      <c r="O874" s="19" t="s">
        <v>4193</v>
      </c>
    </row>
    <row r="875" customFormat="false" ht="32.8" hidden="false" customHeight="false" outlineLevel="0" collapsed="false">
      <c r="A875" s="19" t="s">
        <v>4278</v>
      </c>
      <c r="B875" s="19" t="s">
        <v>378</v>
      </c>
      <c r="C875" s="19" t="str">
        <f aca="false">IFERROR(INDEX('Agent Roster'!$B:$B,MATCH(B875,'Agent Roster'!$A:$A,0)),"UNASSIGNED")</f>
        <v>Investigation &amp; Research Agent</v>
      </c>
      <c r="D875" s="19" t="str">
        <f aca="false">IFERROR(INDEX('Agent Roster'!$D:$D,MATCH(B875,'Agent Roster'!$A:$A,0)),"UNASSIGNED")</f>
        <v>Orchestration &amp; Diagnostics</v>
      </c>
      <c r="E875" s="19" t="s">
        <v>4279</v>
      </c>
      <c r="F875" s="19" t="s">
        <v>4280</v>
      </c>
      <c r="G875" s="19" t="s">
        <v>4192</v>
      </c>
      <c r="H875" s="19" t="s">
        <v>381</v>
      </c>
      <c r="I875" s="19" t="s">
        <v>387</v>
      </c>
      <c r="J875" s="19" t="s">
        <v>1068</v>
      </c>
      <c r="K875" s="19" t="s">
        <v>382</v>
      </c>
      <c r="L875" s="19" t="s">
        <v>383</v>
      </c>
      <c r="M875" s="19" t="s">
        <v>384</v>
      </c>
      <c r="N875" s="19"/>
      <c r="O875" s="19" t="s">
        <v>4193</v>
      </c>
    </row>
    <row r="876" customFormat="false" ht="43.25" hidden="false" customHeight="false" outlineLevel="0" collapsed="false">
      <c r="A876" s="19" t="s">
        <v>4281</v>
      </c>
      <c r="B876" s="19" t="s">
        <v>388</v>
      </c>
      <c r="C876" s="19" t="str">
        <f aca="false">IFERROR(INDEX('Agent Roster'!$B:$B,MATCH(B876,'Agent Roster'!$A:$A,0)),"UNASSIGNED")</f>
        <v>Strategy Hub Lead</v>
      </c>
      <c r="D876" s="19" t="str">
        <f aca="false">IFERROR(INDEX('Agent Roster'!$D:$D,MATCH(B876,'Agent Roster'!$A:$A,0)),"UNASSIGNED")</f>
        <v>1 · Strategy Hub</v>
      </c>
      <c r="E876" s="19" t="s">
        <v>4282</v>
      </c>
      <c r="F876" s="19" t="s">
        <v>4283</v>
      </c>
      <c r="G876" s="19" t="s">
        <v>4192</v>
      </c>
      <c r="H876" s="19" t="s">
        <v>394</v>
      </c>
      <c r="I876" s="19" t="s">
        <v>402</v>
      </c>
      <c r="J876" s="19" t="s">
        <v>1068</v>
      </c>
      <c r="K876" s="19" t="s">
        <v>395</v>
      </c>
      <c r="L876" s="19" t="s">
        <v>396</v>
      </c>
      <c r="M876" s="19" t="s">
        <v>397</v>
      </c>
      <c r="N876" s="19" t="s">
        <v>399</v>
      </c>
      <c r="O876" s="19" t="s">
        <v>4193</v>
      </c>
    </row>
    <row r="877" customFormat="false" ht="32.8" hidden="false" customHeight="false" outlineLevel="0" collapsed="false">
      <c r="A877" s="19" t="s">
        <v>4284</v>
      </c>
      <c r="B877" s="19" t="s">
        <v>403</v>
      </c>
      <c r="C877" s="19" t="str">
        <f aca="false">IFERROR(INDEX('Agent Roster'!$B:$B,MATCH(B877,'Agent Roster'!$A:$A,0)),"UNASSIGNED")</f>
        <v>Vision, Mission &amp; Purpose Steward</v>
      </c>
      <c r="D877" s="19" t="str">
        <f aca="false">IFERROR(INDEX('Agent Roster'!$D:$D,MATCH(B877,'Agent Roster'!$A:$A,0)),"UNASSIGNED")</f>
        <v>1 · Strategy Hub</v>
      </c>
      <c r="E877" s="19" t="s">
        <v>4285</v>
      </c>
      <c r="F877" s="19" t="s">
        <v>4286</v>
      </c>
      <c r="G877" s="19" t="s">
        <v>4192</v>
      </c>
      <c r="H877" s="19" t="s">
        <v>407</v>
      </c>
      <c r="I877" s="19" t="s">
        <v>415</v>
      </c>
      <c r="J877" s="19" t="s">
        <v>1068</v>
      </c>
      <c r="K877" s="19" t="s">
        <v>408</v>
      </c>
      <c r="L877" s="19" t="s">
        <v>409</v>
      </c>
      <c r="M877" s="19" t="s">
        <v>410</v>
      </c>
      <c r="N877" s="19" t="s">
        <v>412</v>
      </c>
      <c r="O877" s="19" t="s">
        <v>4193</v>
      </c>
    </row>
    <row r="878" customFormat="false" ht="22.35" hidden="false" customHeight="false" outlineLevel="0" collapsed="false">
      <c r="A878" s="19" t="s">
        <v>4287</v>
      </c>
      <c r="B878" s="19" t="s">
        <v>416</v>
      </c>
      <c r="C878" s="19" t="str">
        <f aca="false">IFERROR(INDEX('Agent Roster'!$B:$B,MATCH(B878,'Agent Roster'!$A:$A,0)),"UNASSIGNED")</f>
        <v>Values &amp; Governing Principles Keeper</v>
      </c>
      <c r="D878" s="19" t="str">
        <f aca="false">IFERROR(INDEX('Agent Roster'!$D:$D,MATCH(B878,'Agent Roster'!$A:$A,0)),"UNASSIGNED")</f>
        <v>1 · Strategy Hub</v>
      </c>
      <c r="E878" s="19" t="s">
        <v>4288</v>
      </c>
      <c r="F878" s="19" t="s">
        <v>4289</v>
      </c>
      <c r="G878" s="19" t="s">
        <v>4192</v>
      </c>
      <c r="H878" s="19" t="s">
        <v>419</v>
      </c>
      <c r="I878" s="19" t="s">
        <v>427</v>
      </c>
      <c r="J878" s="19" t="s">
        <v>1068</v>
      </c>
      <c r="K878" s="19" t="s">
        <v>420</v>
      </c>
      <c r="L878" s="19" t="s">
        <v>421</v>
      </c>
      <c r="M878" s="19" t="s">
        <v>422</v>
      </c>
      <c r="N878" s="19" t="s">
        <v>424</v>
      </c>
      <c r="O878" s="19" t="s">
        <v>4193</v>
      </c>
    </row>
    <row r="879" customFormat="false" ht="32.8" hidden="false" customHeight="false" outlineLevel="0" collapsed="false">
      <c r="A879" s="19" t="s">
        <v>4290</v>
      </c>
      <c r="B879" s="19" t="s">
        <v>428</v>
      </c>
      <c r="C879" s="19" t="str">
        <f aca="false">IFERROR(INDEX('Agent Roster'!$B:$B,MATCH(B879,'Agent Roster'!$A:$A,0)),"UNASSIGNED")</f>
        <v>Quarterly Direction &amp; Strategic Planning Agent</v>
      </c>
      <c r="D879" s="19" t="str">
        <f aca="false">IFERROR(INDEX('Agent Roster'!$D:$D,MATCH(B879,'Agent Roster'!$A:$A,0)),"UNASSIGNED")</f>
        <v>1 · Strategy Hub</v>
      </c>
      <c r="E879" s="19" t="s">
        <v>4291</v>
      </c>
      <c r="F879" s="19" t="s">
        <v>4292</v>
      </c>
      <c r="G879" s="19" t="s">
        <v>4192</v>
      </c>
      <c r="H879" s="19" t="s">
        <v>431</v>
      </c>
      <c r="I879" s="19" t="s">
        <v>439</v>
      </c>
      <c r="J879" s="19" t="s">
        <v>1068</v>
      </c>
      <c r="K879" s="19" t="s">
        <v>432</v>
      </c>
      <c r="L879" s="19" t="s">
        <v>433</v>
      </c>
      <c r="M879" s="19" t="s">
        <v>434</v>
      </c>
      <c r="N879" s="19" t="s">
        <v>436</v>
      </c>
      <c r="O879" s="19" t="s">
        <v>4193</v>
      </c>
    </row>
    <row r="880" customFormat="false" ht="22.35" hidden="false" customHeight="false" outlineLevel="0" collapsed="false">
      <c r="A880" s="19" t="s">
        <v>4293</v>
      </c>
      <c r="B880" s="19" t="s">
        <v>440</v>
      </c>
      <c r="C880" s="19" t="str">
        <f aca="false">IFERROR(INDEX('Agent Roster'!$B:$B,MATCH(B880,'Agent Roster'!$A:$A,0)),"UNASSIGNED")</f>
        <v>Competitive Positioning &amp; Market Analyst</v>
      </c>
      <c r="D880" s="19" t="str">
        <f aca="false">IFERROR(INDEX('Agent Roster'!$D:$D,MATCH(B880,'Agent Roster'!$A:$A,0)),"UNASSIGNED")</f>
        <v>1 · Strategy Hub</v>
      </c>
      <c r="E880" s="19" t="s">
        <v>4294</v>
      </c>
      <c r="F880" s="19" t="s">
        <v>4295</v>
      </c>
      <c r="G880" s="19" t="s">
        <v>4192</v>
      </c>
      <c r="H880" s="19" t="s">
        <v>443</v>
      </c>
      <c r="I880" s="19" t="s">
        <v>451</v>
      </c>
      <c r="J880" s="19" t="s">
        <v>1068</v>
      </c>
      <c r="K880" s="19" t="s">
        <v>444</v>
      </c>
      <c r="L880" s="19" t="s">
        <v>445</v>
      </c>
      <c r="M880" s="19" t="s">
        <v>446</v>
      </c>
      <c r="N880" s="19" t="s">
        <v>448</v>
      </c>
      <c r="O880" s="19" t="s">
        <v>4193</v>
      </c>
    </row>
    <row r="881" customFormat="false" ht="32.8" hidden="false" customHeight="false" outlineLevel="0" collapsed="false">
      <c r="A881" s="19" t="s">
        <v>4296</v>
      </c>
      <c r="B881" s="19" t="s">
        <v>452</v>
      </c>
      <c r="C881" s="19" t="str">
        <f aca="false">IFERROR(INDEX('Agent Roster'!$B:$B,MATCH(B881,'Agent Roster'!$A:$A,0)),"UNASSIGNED")</f>
        <v>Risk Manager</v>
      </c>
      <c r="D881" s="19" t="str">
        <f aca="false">IFERROR(INDEX('Agent Roster'!$D:$D,MATCH(B881,'Agent Roster'!$A:$A,0)),"UNASSIGNED")</f>
        <v>1 · Strategy Hub</v>
      </c>
      <c r="E881" s="19" t="s">
        <v>4297</v>
      </c>
      <c r="F881" s="19" t="s">
        <v>4298</v>
      </c>
      <c r="G881" s="19" t="s">
        <v>4192</v>
      </c>
      <c r="H881" s="19" t="s">
        <v>455</v>
      </c>
      <c r="I881" s="19" t="s">
        <v>463</v>
      </c>
      <c r="J881" s="19" t="s">
        <v>1068</v>
      </c>
      <c r="K881" s="19" t="s">
        <v>456</v>
      </c>
      <c r="L881" s="19" t="s">
        <v>457</v>
      </c>
      <c r="M881" s="19" t="s">
        <v>458</v>
      </c>
      <c r="N881" s="19" t="s">
        <v>460</v>
      </c>
      <c r="O881" s="19" t="s">
        <v>4193</v>
      </c>
    </row>
    <row r="882" customFormat="false" ht="32.8" hidden="false" customHeight="false" outlineLevel="0" collapsed="false">
      <c r="A882" s="19" t="s">
        <v>4299</v>
      </c>
      <c r="B882" s="19" t="s">
        <v>464</v>
      </c>
      <c r="C882" s="19" t="str">
        <f aca="false">IFERROR(INDEX('Agent Roster'!$B:$B,MATCH(B882,'Agent Roster'!$A:$A,0)),"UNASSIGNED")</f>
        <v>Innovation &amp; R&amp;D Agent</v>
      </c>
      <c r="D882" s="19" t="str">
        <f aca="false">IFERROR(INDEX('Agent Roster'!$D:$D,MATCH(B882,'Agent Roster'!$A:$A,0)),"UNASSIGNED")</f>
        <v>1 · Strategy Hub</v>
      </c>
      <c r="E882" s="19" t="s">
        <v>4300</v>
      </c>
      <c r="F882" s="19" t="s">
        <v>4301</v>
      </c>
      <c r="G882" s="19" t="s">
        <v>4192</v>
      </c>
      <c r="H882" s="19" t="s">
        <v>467</v>
      </c>
      <c r="I882" s="19" t="s">
        <v>475</v>
      </c>
      <c r="J882" s="19" t="s">
        <v>1068</v>
      </c>
      <c r="K882" s="19" t="s">
        <v>468</v>
      </c>
      <c r="L882" s="19" t="s">
        <v>469</v>
      </c>
      <c r="M882" s="19" t="s">
        <v>470</v>
      </c>
      <c r="N882" s="19" t="s">
        <v>472</v>
      </c>
      <c r="O882" s="19" t="s">
        <v>4193</v>
      </c>
    </row>
    <row r="883" customFormat="false" ht="43.25" hidden="false" customHeight="false" outlineLevel="0" collapsed="false">
      <c r="A883" s="19" t="s">
        <v>4302</v>
      </c>
      <c r="B883" s="19" t="s">
        <v>476</v>
      </c>
      <c r="C883" s="19" t="str">
        <f aca="false">IFERROR(INDEX('Agent Roster'!$B:$B,MATCH(B883,'Agent Roster'!$A:$A,0)),"UNASSIGNED")</f>
        <v>Marketing Hub Lead (ACE Acquisition owner)</v>
      </c>
      <c r="D883" s="19" t="str">
        <f aca="false">IFERROR(INDEX('Agent Roster'!$D:$D,MATCH(B883,'Agent Roster'!$A:$A,0)),"UNASSIGNED")</f>
        <v>2 · Marketing Hub</v>
      </c>
      <c r="E883" s="19" t="s">
        <v>4303</v>
      </c>
      <c r="F883" s="19" t="s">
        <v>4304</v>
      </c>
      <c r="G883" s="19" t="s">
        <v>4192</v>
      </c>
      <c r="H883" s="19" t="s">
        <v>482</v>
      </c>
      <c r="I883" s="19" t="s">
        <v>402</v>
      </c>
      <c r="J883" s="19" t="s">
        <v>1068</v>
      </c>
      <c r="K883" s="19" t="s">
        <v>395</v>
      </c>
      <c r="L883" s="19" t="s">
        <v>396</v>
      </c>
      <c r="M883" s="19" t="s">
        <v>397</v>
      </c>
      <c r="N883" s="19" t="s">
        <v>399</v>
      </c>
      <c r="O883" s="19" t="s">
        <v>4193</v>
      </c>
    </row>
    <row r="884" customFormat="false" ht="32.8" hidden="false" customHeight="false" outlineLevel="0" collapsed="false">
      <c r="A884" s="19" t="s">
        <v>4305</v>
      </c>
      <c r="B884" s="19" t="s">
        <v>485</v>
      </c>
      <c r="C884" s="19" t="str">
        <f aca="false">IFERROR(INDEX('Agent Roster'!$B:$B,MATCH(B884,'Agent Roster'!$A:$A,0)),"UNASSIGNED")</f>
        <v>Outbound Lead Generation Agent (Yang)</v>
      </c>
      <c r="D884" s="19" t="str">
        <f aca="false">IFERROR(INDEX('Agent Roster'!$D:$D,MATCH(B884,'Agent Roster'!$A:$A,0)),"UNASSIGNED")</f>
        <v>2 · Marketing Hub</v>
      </c>
      <c r="E884" s="19" t="s">
        <v>4306</v>
      </c>
      <c r="F884" s="19" t="s">
        <v>4307</v>
      </c>
      <c r="G884" s="19" t="s">
        <v>4192</v>
      </c>
      <c r="H884" s="19" t="s">
        <v>488</v>
      </c>
      <c r="I884" s="19" t="s">
        <v>497</v>
      </c>
      <c r="J884" s="19" t="s">
        <v>1068</v>
      </c>
      <c r="K884" s="19" t="s">
        <v>489</v>
      </c>
      <c r="L884" s="19" t="s">
        <v>490</v>
      </c>
      <c r="M884" s="19" t="s">
        <v>491</v>
      </c>
      <c r="N884" s="19" t="s">
        <v>494</v>
      </c>
      <c r="O884" s="19" t="s">
        <v>4193</v>
      </c>
    </row>
    <row r="885" customFormat="false" ht="22.35" hidden="false" customHeight="false" outlineLevel="0" collapsed="false">
      <c r="A885" s="19" t="s">
        <v>4308</v>
      </c>
      <c r="B885" s="19" t="s">
        <v>498</v>
      </c>
      <c r="C885" s="19" t="str">
        <f aca="false">IFERROR(INDEX('Agent Roster'!$B:$B,MATCH(B885,'Agent Roster'!$A:$A,0)),"UNASSIGNED")</f>
        <v>Inbound Traffic &amp; Funnel Agent (Yin)</v>
      </c>
      <c r="D885" s="19" t="str">
        <f aca="false">IFERROR(INDEX('Agent Roster'!$D:$D,MATCH(B885,'Agent Roster'!$A:$A,0)),"UNASSIGNED")</f>
        <v>2 · Marketing Hub</v>
      </c>
      <c r="E885" s="19" t="s">
        <v>4309</v>
      </c>
      <c r="F885" s="19" t="s">
        <v>4310</v>
      </c>
      <c r="G885" s="19" t="s">
        <v>4192</v>
      </c>
      <c r="H885" s="19" t="s">
        <v>501</v>
      </c>
      <c r="I885" s="19" t="s">
        <v>509</v>
      </c>
      <c r="J885" s="19" t="s">
        <v>1068</v>
      </c>
      <c r="K885" s="19" t="s">
        <v>502</v>
      </c>
      <c r="L885" s="19" t="s">
        <v>503</v>
      </c>
      <c r="M885" s="19" t="s">
        <v>504</v>
      </c>
      <c r="N885" s="19" t="s">
        <v>506</v>
      </c>
      <c r="O885" s="19" t="s">
        <v>4193</v>
      </c>
    </row>
    <row r="886" customFormat="false" ht="32.8" hidden="false" customHeight="false" outlineLevel="0" collapsed="false">
      <c r="A886" s="19" t="s">
        <v>4311</v>
      </c>
      <c r="B886" s="19" t="s">
        <v>510</v>
      </c>
      <c r="C886" s="19" t="str">
        <f aca="false">IFERROR(INDEX('Agent Roster'!$B:$B,MATCH(B886,'Agent Roster'!$A:$A,0)),"UNASSIGNED")</f>
        <v>Lead Capture, Tagging &amp; Channel ROI Agent</v>
      </c>
      <c r="D886" s="19" t="str">
        <f aca="false">IFERROR(INDEX('Agent Roster'!$D:$D,MATCH(B886,'Agent Roster'!$A:$A,0)),"UNASSIGNED")</f>
        <v>2 · Marketing Hub</v>
      </c>
      <c r="E886" s="19" t="s">
        <v>4312</v>
      </c>
      <c r="F886" s="19" t="s">
        <v>4313</v>
      </c>
      <c r="G886" s="19" t="s">
        <v>4192</v>
      </c>
      <c r="H886" s="19" t="s">
        <v>513</v>
      </c>
      <c r="I886" s="19" t="s">
        <v>521</v>
      </c>
      <c r="J886" s="19" t="s">
        <v>1068</v>
      </c>
      <c r="K886" s="19" t="s">
        <v>514</v>
      </c>
      <c r="L886" s="19" t="s">
        <v>515</v>
      </c>
      <c r="M886" s="19" t="s">
        <v>516</v>
      </c>
      <c r="N886" s="19" t="s">
        <v>518</v>
      </c>
      <c r="O886" s="19" t="s">
        <v>4193</v>
      </c>
    </row>
    <row r="887" customFormat="false" ht="22.35" hidden="false" customHeight="false" outlineLevel="0" collapsed="false">
      <c r="A887" s="19" t="s">
        <v>4314</v>
      </c>
      <c r="B887" s="19" t="s">
        <v>522</v>
      </c>
      <c r="C887" s="19" t="str">
        <f aca="false">IFERROR(INDEX('Agent Roster'!$B:$B,MATCH(B887,'Agent Roster'!$A:$A,0)),"UNASSIGNED")</f>
        <v>Brand Awareness Agent</v>
      </c>
      <c r="D887" s="19" t="str">
        <f aca="false">IFERROR(INDEX('Agent Roster'!$D:$D,MATCH(B887,'Agent Roster'!$A:$A,0)),"UNASSIGNED")</f>
        <v>2 · Marketing Hub</v>
      </c>
      <c r="E887" s="19" t="s">
        <v>4315</v>
      </c>
      <c r="F887" s="19" t="s">
        <v>4316</v>
      </c>
      <c r="G887" s="19" t="s">
        <v>4192</v>
      </c>
      <c r="H887" s="19" t="s">
        <v>525</v>
      </c>
      <c r="I887" s="19" t="s">
        <v>533</v>
      </c>
      <c r="J887" s="19" t="s">
        <v>1068</v>
      </c>
      <c r="K887" s="19" t="s">
        <v>526</v>
      </c>
      <c r="L887" s="19" t="s">
        <v>527</v>
      </c>
      <c r="M887" s="19" t="s">
        <v>528</v>
      </c>
      <c r="N887" s="19" t="s">
        <v>530</v>
      </c>
      <c r="O887" s="19" t="s">
        <v>4193</v>
      </c>
    </row>
    <row r="888" customFormat="false" ht="22.35" hidden="false" customHeight="false" outlineLevel="0" collapsed="false">
      <c r="A888" s="19" t="s">
        <v>4317</v>
      </c>
      <c r="B888" s="19" t="s">
        <v>534</v>
      </c>
      <c r="C888" s="19" t="str">
        <f aca="false">IFERROR(INDEX('Agent Roster'!$B:$B,MATCH(B888,'Agent Roster'!$A:$A,0)),"UNASSIGNED")</f>
        <v>Content Distribution Agent</v>
      </c>
      <c r="D888" s="19" t="str">
        <f aca="false">IFERROR(INDEX('Agent Roster'!$D:$D,MATCH(B888,'Agent Roster'!$A:$A,0)),"UNASSIGNED")</f>
        <v>2 · Marketing Hub</v>
      </c>
      <c r="E888" s="19" t="s">
        <v>4318</v>
      </c>
      <c r="F888" s="19" t="s">
        <v>4319</v>
      </c>
      <c r="G888" s="19" t="s">
        <v>4192</v>
      </c>
      <c r="H888" s="19" t="s">
        <v>537</v>
      </c>
      <c r="I888" s="19" t="s">
        <v>544</v>
      </c>
      <c r="J888" s="19" t="s">
        <v>1068</v>
      </c>
      <c r="K888" s="19" t="s">
        <v>538</v>
      </c>
      <c r="L888" s="19" t="s">
        <v>539</v>
      </c>
      <c r="M888" s="19" t="s">
        <v>540</v>
      </c>
      <c r="N888" s="19"/>
      <c r="O888" s="19" t="s">
        <v>4193</v>
      </c>
    </row>
    <row r="889" customFormat="false" ht="32.8" hidden="false" customHeight="false" outlineLevel="0" collapsed="false">
      <c r="A889" s="19" t="s">
        <v>4320</v>
      </c>
      <c r="B889" s="19" t="s">
        <v>545</v>
      </c>
      <c r="C889" s="19" t="str">
        <f aca="false">IFERROR(INDEX('Agent Roster'!$B:$B,MATCH(B889,'Agent Roster'!$A:$A,0)),"UNASSIGNED")</f>
        <v>Communications, Speaking &amp; Influence Agent</v>
      </c>
      <c r="D889" s="19" t="str">
        <f aca="false">IFERROR(INDEX('Agent Roster'!$D:$D,MATCH(B889,'Agent Roster'!$A:$A,0)),"UNASSIGNED")</f>
        <v>2 · Marketing Hub</v>
      </c>
      <c r="E889" s="19" t="s">
        <v>4321</v>
      </c>
      <c r="F889" s="19" t="s">
        <v>4322</v>
      </c>
      <c r="G889" s="19" t="s">
        <v>4192</v>
      </c>
      <c r="H889" s="19" t="s">
        <v>548</v>
      </c>
      <c r="I889" s="19" t="s">
        <v>556</v>
      </c>
      <c r="J889" s="19" t="s">
        <v>1068</v>
      </c>
      <c r="K889" s="19" t="s">
        <v>549</v>
      </c>
      <c r="L889" s="19" t="s">
        <v>550</v>
      </c>
      <c r="M889" s="19" t="s">
        <v>551</v>
      </c>
      <c r="N889" s="19" t="s">
        <v>553</v>
      </c>
      <c r="O889" s="19" t="s">
        <v>4193</v>
      </c>
    </row>
    <row r="890" customFormat="false" ht="43.25" hidden="false" customHeight="false" outlineLevel="0" collapsed="false">
      <c r="A890" s="19" t="s">
        <v>4323</v>
      </c>
      <c r="B890" s="19" t="s">
        <v>557</v>
      </c>
      <c r="C890" s="19" t="str">
        <f aca="false">IFERROR(INDEX('Agent Roster'!$B:$B,MATCH(B890,'Agent Roster'!$A:$A,0)),"UNASSIGNED")</f>
        <v>Sales Hub Lead (ACE Creation owner)</v>
      </c>
      <c r="D890" s="19" t="str">
        <f aca="false">IFERROR(INDEX('Agent Roster'!$D:$D,MATCH(B890,'Agent Roster'!$A:$A,0)),"UNASSIGNED")</f>
        <v>3 · Sales Hub</v>
      </c>
      <c r="E890" s="19" t="s">
        <v>4324</v>
      </c>
      <c r="F890" s="19" t="s">
        <v>4325</v>
      </c>
      <c r="G890" s="19" t="s">
        <v>4192</v>
      </c>
      <c r="H890" s="19" t="s">
        <v>562</v>
      </c>
      <c r="I890" s="19" t="s">
        <v>402</v>
      </c>
      <c r="J890" s="19" t="s">
        <v>1068</v>
      </c>
      <c r="K890" s="19" t="s">
        <v>395</v>
      </c>
      <c r="L890" s="19" t="s">
        <v>396</v>
      </c>
      <c r="M890" s="19" t="s">
        <v>397</v>
      </c>
      <c r="N890" s="19" t="s">
        <v>399</v>
      </c>
      <c r="O890" s="19" t="s">
        <v>4193</v>
      </c>
    </row>
    <row r="891" customFormat="false" ht="22.35" hidden="false" customHeight="false" outlineLevel="0" collapsed="false">
      <c r="A891" s="19" t="s">
        <v>4326</v>
      </c>
      <c r="B891" s="19" t="s">
        <v>565</v>
      </c>
      <c r="C891" s="19" t="str">
        <f aca="false">IFERROR(INDEX('Agent Roster'!$B:$B,MATCH(B891,'Agent Roster'!$A:$A,0)),"UNASSIGNED")</f>
        <v>Instant Response Agent</v>
      </c>
      <c r="D891" s="19" t="str">
        <f aca="false">IFERROR(INDEX('Agent Roster'!$D:$D,MATCH(B891,'Agent Roster'!$A:$A,0)),"UNASSIGNED")</f>
        <v>3 · Sales Hub</v>
      </c>
      <c r="E891" s="19" t="s">
        <v>4327</v>
      </c>
      <c r="F891" s="19" t="s">
        <v>4328</v>
      </c>
      <c r="G891" s="19" t="s">
        <v>4192</v>
      </c>
      <c r="H891" s="19" t="s">
        <v>568</v>
      </c>
      <c r="I891" s="19" t="s">
        <v>575</v>
      </c>
      <c r="J891" s="19" t="s">
        <v>1068</v>
      </c>
      <c r="K891" s="19" t="s">
        <v>569</v>
      </c>
      <c r="L891" s="19" t="s">
        <v>570</v>
      </c>
      <c r="M891" s="19" t="s">
        <v>571</v>
      </c>
      <c r="N891" s="19"/>
      <c r="O891" s="19" t="s">
        <v>4193</v>
      </c>
    </row>
    <row r="892" customFormat="false" ht="22.35" hidden="false" customHeight="false" outlineLevel="0" collapsed="false">
      <c r="A892" s="19" t="s">
        <v>4329</v>
      </c>
      <c r="B892" s="19" t="s">
        <v>571</v>
      </c>
      <c r="C892" s="19" t="str">
        <f aca="false">IFERROR(INDEX('Agent Roster'!$B:$B,MATCH(B892,'Agent Roster'!$A:$A,0)),"UNASSIGNED")</f>
        <v>Lead Qualification Agent</v>
      </c>
      <c r="D892" s="19" t="str">
        <f aca="false">IFERROR(INDEX('Agent Roster'!$D:$D,MATCH(B892,'Agent Roster'!$A:$A,0)),"UNASSIGNED")</f>
        <v>3 · Sales Hub</v>
      </c>
      <c r="E892" s="19" t="s">
        <v>4330</v>
      </c>
      <c r="F892" s="19" t="s">
        <v>4331</v>
      </c>
      <c r="G892" s="19" t="s">
        <v>4192</v>
      </c>
      <c r="H892" s="19" t="s">
        <v>578</v>
      </c>
      <c r="I892" s="19" t="s">
        <v>586</v>
      </c>
      <c r="J892" s="19" t="s">
        <v>1068</v>
      </c>
      <c r="K892" s="19" t="s">
        <v>579</v>
      </c>
      <c r="L892" s="19" t="s">
        <v>580</v>
      </c>
      <c r="M892" s="19" t="s">
        <v>581</v>
      </c>
      <c r="N892" s="19" t="s">
        <v>584</v>
      </c>
      <c r="O892" s="19" t="s">
        <v>4193</v>
      </c>
    </row>
    <row r="893" customFormat="false" ht="32.8" hidden="false" customHeight="false" outlineLevel="0" collapsed="false">
      <c r="A893" s="19" t="s">
        <v>4332</v>
      </c>
      <c r="B893" s="19" t="s">
        <v>587</v>
      </c>
      <c r="C893" s="19" t="str">
        <f aca="false">IFERROR(INDEX('Agent Roster'!$B:$B,MATCH(B893,'Agent Roster'!$A:$A,0)),"UNASSIGNED")</f>
        <v>Pipeline Manager Agent</v>
      </c>
      <c r="D893" s="19" t="str">
        <f aca="false">IFERROR(INDEX('Agent Roster'!$D:$D,MATCH(B893,'Agent Roster'!$A:$A,0)),"UNASSIGNED")</f>
        <v>3 · Sales Hub</v>
      </c>
      <c r="E893" s="19" t="s">
        <v>4333</v>
      </c>
      <c r="F893" s="19" t="s">
        <v>4334</v>
      </c>
      <c r="G893" s="19" t="s">
        <v>4192</v>
      </c>
      <c r="H893" s="19" t="s">
        <v>590</v>
      </c>
      <c r="I893" s="19" t="s">
        <v>597</v>
      </c>
      <c r="J893" s="19" t="s">
        <v>1068</v>
      </c>
      <c r="K893" s="19" t="s">
        <v>591</v>
      </c>
      <c r="L893" s="19" t="s">
        <v>592</v>
      </c>
      <c r="M893" s="19" t="s">
        <v>593</v>
      </c>
      <c r="N893" s="19"/>
      <c r="O893" s="19" t="s">
        <v>4193</v>
      </c>
    </row>
    <row r="894" customFormat="false" ht="32.8" hidden="false" customHeight="false" outlineLevel="0" collapsed="false">
      <c r="A894" s="19" t="s">
        <v>4335</v>
      </c>
      <c r="B894" s="19" t="s">
        <v>581</v>
      </c>
      <c r="C894" s="19" t="str">
        <f aca="false">IFERROR(INDEX('Agent Roster'!$B:$B,MATCH(B894,'Agent Roster'!$A:$A,0)),"UNASSIGNED")</f>
        <v>Appointment &amp; Show-Rate Agent</v>
      </c>
      <c r="D894" s="19" t="str">
        <f aca="false">IFERROR(INDEX('Agent Roster'!$D:$D,MATCH(B894,'Agent Roster'!$A:$A,0)),"UNASSIGNED")</f>
        <v>3 · Sales Hub</v>
      </c>
      <c r="E894" s="19" t="s">
        <v>4336</v>
      </c>
      <c r="F894" s="19" t="s">
        <v>4337</v>
      </c>
      <c r="G894" s="19" t="s">
        <v>4192</v>
      </c>
      <c r="H894" s="19" t="s">
        <v>600</v>
      </c>
      <c r="I894" s="19" t="s">
        <v>606</v>
      </c>
      <c r="J894" s="19" t="s">
        <v>1068</v>
      </c>
      <c r="K894" s="19" t="s">
        <v>601</v>
      </c>
      <c r="L894" s="19" t="s">
        <v>602</v>
      </c>
      <c r="M894" s="19" t="s">
        <v>603</v>
      </c>
      <c r="N894" s="19"/>
      <c r="O894" s="19" t="s">
        <v>4193</v>
      </c>
    </row>
    <row r="895" customFormat="false" ht="43.25" hidden="false" customHeight="false" outlineLevel="0" collapsed="false">
      <c r="A895" s="19" t="s">
        <v>4338</v>
      </c>
      <c r="B895" s="19" t="s">
        <v>603</v>
      </c>
      <c r="C895" s="19" t="str">
        <f aca="false">IFERROR(INDEX('Agent Roster'!$B:$B,MATCH(B895,'Agent Roster'!$A:$A,0)),"UNASSIGNED")</f>
        <v>Sales Call Copilot (7-Step Script)</v>
      </c>
      <c r="D895" s="19" t="str">
        <f aca="false">IFERROR(INDEX('Agent Roster'!$D:$D,MATCH(B895,'Agent Roster'!$A:$A,0)),"UNASSIGNED")</f>
        <v>3 · Sales Hub</v>
      </c>
      <c r="E895" s="19" t="s">
        <v>4339</v>
      </c>
      <c r="F895" s="19" t="s">
        <v>4340</v>
      </c>
      <c r="G895" s="19" t="s">
        <v>4192</v>
      </c>
      <c r="H895" s="19" t="s">
        <v>609</v>
      </c>
      <c r="I895" s="19" t="s">
        <v>617</v>
      </c>
      <c r="J895" s="19" t="s">
        <v>1068</v>
      </c>
      <c r="K895" s="19" t="s">
        <v>610</v>
      </c>
      <c r="L895" s="19" t="s">
        <v>611</v>
      </c>
      <c r="M895" s="19" t="s">
        <v>612</v>
      </c>
      <c r="N895" s="19" t="s">
        <v>614</v>
      </c>
      <c r="O895" s="19" t="s">
        <v>4193</v>
      </c>
    </row>
    <row r="896" customFormat="false" ht="32.8" hidden="false" customHeight="false" outlineLevel="0" collapsed="false">
      <c r="A896" s="19" t="s">
        <v>4341</v>
      </c>
      <c r="B896" s="19" t="s">
        <v>618</v>
      </c>
      <c r="C896" s="19" t="str">
        <f aca="false">IFERROR(INDEX('Agent Roster'!$B:$B,MATCH(B896,'Agent Roster'!$A:$A,0)),"UNASSIGNED")</f>
        <v>Objection Handling Coach (I.A.C.E.)</v>
      </c>
      <c r="D896" s="19" t="str">
        <f aca="false">IFERROR(INDEX('Agent Roster'!$D:$D,MATCH(B896,'Agent Roster'!$A:$A,0)),"UNASSIGNED")</f>
        <v>3 · Sales Hub</v>
      </c>
      <c r="E896" s="19" t="s">
        <v>4342</v>
      </c>
      <c r="F896" s="19" t="s">
        <v>4343</v>
      </c>
      <c r="G896" s="19" t="s">
        <v>4192</v>
      </c>
      <c r="H896" s="19" t="s">
        <v>621</v>
      </c>
      <c r="I896" s="19" t="s">
        <v>629</v>
      </c>
      <c r="J896" s="19" t="s">
        <v>1068</v>
      </c>
      <c r="K896" s="19" t="s">
        <v>622</v>
      </c>
      <c r="L896" s="19" t="s">
        <v>623</v>
      </c>
      <c r="M896" s="19" t="s">
        <v>624</v>
      </c>
      <c r="N896" s="19" t="s">
        <v>626</v>
      </c>
      <c r="O896" s="19" t="s">
        <v>4193</v>
      </c>
    </row>
    <row r="897" customFormat="false" ht="32.8" hidden="false" customHeight="false" outlineLevel="0" collapsed="false">
      <c r="A897" s="19" t="s">
        <v>4344</v>
      </c>
      <c r="B897" s="19" t="s">
        <v>630</v>
      </c>
      <c r="C897" s="19" t="str">
        <f aca="false">IFERROR(INDEX('Agent Roster'!$B:$B,MATCH(B897,'Agent Roster'!$A:$A,0)),"UNASSIGNED")</f>
        <v>Offer Architect</v>
      </c>
      <c r="D897" s="19" t="str">
        <f aca="false">IFERROR(INDEX('Agent Roster'!$D:$D,MATCH(B897,'Agent Roster'!$A:$A,0)),"UNASSIGNED")</f>
        <v>3 · Sales Hub</v>
      </c>
      <c r="E897" s="19" t="s">
        <v>4345</v>
      </c>
      <c r="F897" s="19" t="s">
        <v>4346</v>
      </c>
      <c r="G897" s="19" t="s">
        <v>4192</v>
      </c>
      <c r="H897" s="19" t="s">
        <v>633</v>
      </c>
      <c r="I897" s="19" t="s">
        <v>641</v>
      </c>
      <c r="J897" s="19" t="s">
        <v>1068</v>
      </c>
      <c r="K897" s="19" t="s">
        <v>634</v>
      </c>
      <c r="L897" s="19" t="s">
        <v>635</v>
      </c>
      <c r="M897" s="19" t="s">
        <v>636</v>
      </c>
      <c r="N897" s="19" t="s">
        <v>638</v>
      </c>
      <c r="O897" s="19" t="s">
        <v>4193</v>
      </c>
    </row>
    <row r="898" customFormat="false" ht="32.8" hidden="false" customHeight="false" outlineLevel="0" collapsed="false">
      <c r="A898" s="19" t="s">
        <v>4347</v>
      </c>
      <c r="B898" s="19" t="s">
        <v>642</v>
      </c>
      <c r="C898" s="19" t="str">
        <f aca="false">IFERROR(INDEX('Agent Roster'!$B:$B,MATCH(B898,'Agent Roster'!$A:$A,0)),"UNASSIGNED")</f>
        <v>Proposal &amp; Contract Generator</v>
      </c>
      <c r="D898" s="19" t="str">
        <f aca="false">IFERROR(INDEX('Agent Roster'!$D:$D,MATCH(B898,'Agent Roster'!$A:$A,0)),"UNASSIGNED")</f>
        <v>3 · Sales Hub</v>
      </c>
      <c r="E898" s="19" t="s">
        <v>4348</v>
      </c>
      <c r="F898" s="19" t="s">
        <v>4349</v>
      </c>
      <c r="G898" s="19" t="s">
        <v>4192</v>
      </c>
      <c r="H898" s="19" t="s">
        <v>645</v>
      </c>
      <c r="I898" s="19" t="s">
        <v>652</v>
      </c>
      <c r="J898" s="19" t="s">
        <v>1068</v>
      </c>
      <c r="K898" s="19" t="s">
        <v>646</v>
      </c>
      <c r="L898" s="19" t="s">
        <v>647</v>
      </c>
      <c r="M898" s="19" t="s">
        <v>648</v>
      </c>
      <c r="N898" s="19" t="s">
        <v>650</v>
      </c>
      <c r="O898" s="19" t="s">
        <v>4193</v>
      </c>
    </row>
    <row r="899" customFormat="false" ht="22.35" hidden="false" customHeight="false" outlineLevel="0" collapsed="false">
      <c r="A899" s="19" t="s">
        <v>4350</v>
      </c>
      <c r="B899" s="19" t="s">
        <v>653</v>
      </c>
      <c r="C899" s="19" t="str">
        <f aca="false">IFERROR(INDEX('Agent Roster'!$B:$B,MATCH(B899,'Agent Roster'!$A:$A,0)),"UNASSIGNED")</f>
        <v>Call QA Agent</v>
      </c>
      <c r="D899" s="19" t="str">
        <f aca="false">IFERROR(INDEX('Agent Roster'!$D:$D,MATCH(B899,'Agent Roster'!$A:$A,0)),"UNASSIGNED")</f>
        <v>3 · Sales Hub</v>
      </c>
      <c r="E899" s="19" t="s">
        <v>4351</v>
      </c>
      <c r="F899" s="19" t="s">
        <v>4352</v>
      </c>
      <c r="G899" s="19" t="s">
        <v>4192</v>
      </c>
      <c r="H899" s="19" t="s">
        <v>656</v>
      </c>
      <c r="I899" s="19" t="s">
        <v>662</v>
      </c>
      <c r="J899" s="19" t="s">
        <v>1068</v>
      </c>
      <c r="K899" s="19" t="s">
        <v>657</v>
      </c>
      <c r="L899" s="19" t="s">
        <v>658</v>
      </c>
      <c r="M899" s="19" t="s">
        <v>659</v>
      </c>
      <c r="N899" s="19"/>
      <c r="O899" s="19" t="s">
        <v>4193</v>
      </c>
    </row>
    <row r="900" customFormat="false" ht="22.35" hidden="false" customHeight="false" outlineLevel="0" collapsed="false">
      <c r="A900" s="19" t="s">
        <v>4353</v>
      </c>
      <c r="B900" s="19" t="s">
        <v>663</v>
      </c>
      <c r="C900" s="19" t="str">
        <f aca="false">IFERROR(INDEX('Agent Roster'!$B:$B,MATCH(B900,'Agent Roster'!$A:$A,0)),"UNASSIGNED")</f>
        <v>Negotiation &amp; Influence Agent</v>
      </c>
      <c r="D900" s="19" t="str">
        <f aca="false">IFERROR(INDEX('Agent Roster'!$D:$D,MATCH(B900,'Agent Roster'!$A:$A,0)),"UNASSIGNED")</f>
        <v>3 · Sales Hub</v>
      </c>
      <c r="E900" s="19" t="s">
        <v>4354</v>
      </c>
      <c r="F900" s="19" t="s">
        <v>4355</v>
      </c>
      <c r="G900" s="19" t="s">
        <v>4192</v>
      </c>
      <c r="H900" s="19" t="s">
        <v>666</v>
      </c>
      <c r="I900" s="19" t="s">
        <v>674</v>
      </c>
      <c r="J900" s="19" t="s">
        <v>1068</v>
      </c>
      <c r="K900" s="19" t="s">
        <v>667</v>
      </c>
      <c r="L900" s="19" t="s">
        <v>668</v>
      </c>
      <c r="M900" s="19" t="s">
        <v>669</v>
      </c>
      <c r="N900" s="19" t="s">
        <v>671</v>
      </c>
      <c r="O900" s="19" t="s">
        <v>4193</v>
      </c>
    </row>
    <row r="901" customFormat="false" ht="22.35" hidden="false" customHeight="false" outlineLevel="0" collapsed="false">
      <c r="A901" s="19" t="s">
        <v>4356</v>
      </c>
      <c r="B901" s="19" t="s">
        <v>675</v>
      </c>
      <c r="C901" s="19" t="str">
        <f aca="false">IFERROR(INDEX('Agent Roster'!$B:$B,MATCH(B901,'Agent Roster'!$A:$A,0)),"UNASSIGNED")</f>
        <v>Sales-to-Onboarding Handoff Agent</v>
      </c>
      <c r="D901" s="19" t="str">
        <f aca="false">IFERROR(INDEX('Agent Roster'!$D:$D,MATCH(B901,'Agent Roster'!$A:$A,0)),"UNASSIGNED")</f>
        <v>3 · Sales Hub</v>
      </c>
      <c r="E901" s="19" t="s">
        <v>4357</v>
      </c>
      <c r="F901" s="19" t="s">
        <v>4358</v>
      </c>
      <c r="G901" s="19" t="s">
        <v>4192</v>
      </c>
      <c r="H901" s="19" t="s">
        <v>678</v>
      </c>
      <c r="I901" s="19" t="s">
        <v>685</v>
      </c>
      <c r="J901" s="19" t="s">
        <v>1068</v>
      </c>
      <c r="K901" s="19" t="s">
        <v>679</v>
      </c>
      <c r="L901" s="19" t="s">
        <v>680</v>
      </c>
      <c r="M901" s="19" t="s">
        <v>681</v>
      </c>
      <c r="N901" s="19"/>
      <c r="O901" s="19" t="s">
        <v>4193</v>
      </c>
    </row>
    <row r="902" customFormat="false" ht="22.35" hidden="false" customHeight="false" outlineLevel="0" collapsed="false">
      <c r="A902" s="19" t="s">
        <v>4359</v>
      </c>
      <c r="B902" s="19" t="s">
        <v>686</v>
      </c>
      <c r="C902" s="19" t="str">
        <f aca="false">IFERROR(INDEX('Agent Roster'!$B:$B,MATCH(B902,'Agent Roster'!$A:$A,0)),"UNASSIGNED")</f>
        <v>Funnel Conversion Analyst</v>
      </c>
      <c r="D902" s="19" t="str">
        <f aca="false">IFERROR(INDEX('Agent Roster'!$D:$D,MATCH(B902,'Agent Roster'!$A:$A,0)),"UNASSIGNED")</f>
        <v>3 · Sales Hub</v>
      </c>
      <c r="E902" s="19" t="s">
        <v>4360</v>
      </c>
      <c r="F902" s="19" t="s">
        <v>4361</v>
      </c>
      <c r="G902" s="19" t="s">
        <v>4192</v>
      </c>
      <c r="H902" s="19" t="s">
        <v>689</v>
      </c>
      <c r="I902" s="19" t="s">
        <v>695</v>
      </c>
      <c r="J902" s="19" t="s">
        <v>1068</v>
      </c>
      <c r="K902" s="19" t="s">
        <v>690</v>
      </c>
      <c r="L902" s="19" t="s">
        <v>691</v>
      </c>
      <c r="M902" s="19" t="s">
        <v>692</v>
      </c>
      <c r="N902" s="19"/>
      <c r="O902" s="19" t="s">
        <v>4193</v>
      </c>
    </row>
    <row r="903" customFormat="false" ht="43.25" hidden="false" customHeight="false" outlineLevel="0" collapsed="false">
      <c r="A903" s="19" t="s">
        <v>4362</v>
      </c>
      <c r="B903" s="19" t="s">
        <v>696</v>
      </c>
      <c r="C903" s="19" t="str">
        <f aca="false">IFERROR(INDEX('Agent Roster'!$B:$B,MATCH(B903,'Agent Roster'!$A:$A,0)),"UNASSIGNED")</f>
        <v>Operations Hub Lead</v>
      </c>
      <c r="D903" s="19" t="str">
        <f aca="false">IFERROR(INDEX('Agent Roster'!$D:$D,MATCH(B903,'Agent Roster'!$A:$A,0)),"UNASSIGNED")</f>
        <v>4 · Operations Hub</v>
      </c>
      <c r="E903" s="19" t="s">
        <v>4363</v>
      </c>
      <c r="F903" s="19" t="s">
        <v>4364</v>
      </c>
      <c r="G903" s="19" t="s">
        <v>4192</v>
      </c>
      <c r="H903" s="19" t="s">
        <v>702</v>
      </c>
      <c r="I903" s="19" t="s">
        <v>402</v>
      </c>
      <c r="J903" s="19" t="s">
        <v>1068</v>
      </c>
      <c r="K903" s="19" t="s">
        <v>395</v>
      </c>
      <c r="L903" s="19" t="s">
        <v>396</v>
      </c>
      <c r="M903" s="19" t="s">
        <v>397</v>
      </c>
      <c r="N903" s="19" t="s">
        <v>399</v>
      </c>
      <c r="O903" s="19" t="s">
        <v>4193</v>
      </c>
    </row>
    <row r="904" customFormat="false" ht="22.35" hidden="false" customHeight="false" outlineLevel="0" collapsed="false">
      <c r="A904" s="19" t="s">
        <v>4365</v>
      </c>
      <c r="B904" s="19" t="s">
        <v>705</v>
      </c>
      <c r="C904" s="19" t="str">
        <f aca="false">IFERROR(INDEX('Agent Roster'!$B:$B,MATCH(B904,'Agent Roster'!$A:$A,0)),"UNASSIGNED")</f>
        <v>Fulfillment &amp; Delivery Agent</v>
      </c>
      <c r="D904" s="19" t="str">
        <f aca="false">IFERROR(INDEX('Agent Roster'!$D:$D,MATCH(B904,'Agent Roster'!$A:$A,0)),"UNASSIGNED")</f>
        <v>4 · Operations Hub</v>
      </c>
      <c r="E904" s="19" t="s">
        <v>4366</v>
      </c>
      <c r="F904" s="19" t="s">
        <v>4367</v>
      </c>
      <c r="G904" s="19" t="s">
        <v>4192</v>
      </c>
      <c r="H904" s="19" t="s">
        <v>708</v>
      </c>
      <c r="I904" s="19" t="s">
        <v>715</v>
      </c>
      <c r="J904" s="19" t="s">
        <v>1068</v>
      </c>
      <c r="K904" s="19" t="s">
        <v>709</v>
      </c>
      <c r="L904" s="19" t="s">
        <v>710</v>
      </c>
      <c r="M904" s="19" t="s">
        <v>711</v>
      </c>
      <c r="N904" s="19"/>
      <c r="O904" s="19" t="s">
        <v>4193</v>
      </c>
    </row>
    <row r="905" customFormat="false" ht="22.35" hidden="false" customHeight="false" outlineLevel="0" collapsed="false">
      <c r="A905" s="19" t="s">
        <v>4368</v>
      </c>
      <c r="B905" s="19" t="s">
        <v>716</v>
      </c>
      <c r="C905" s="19" t="str">
        <f aca="false">IFERROR(INDEX('Agent Roster'!$B:$B,MATCH(B905,'Agent Roster'!$A:$A,0)),"UNASSIGNED")</f>
        <v>Quality Control Agent (Correctness pillar)</v>
      </c>
      <c r="D905" s="19" t="str">
        <f aca="false">IFERROR(INDEX('Agent Roster'!$D:$D,MATCH(B905,'Agent Roster'!$A:$A,0)),"UNASSIGNED")</f>
        <v>4 · Operations Hub</v>
      </c>
      <c r="E905" s="19" t="s">
        <v>4369</v>
      </c>
      <c r="F905" s="19" t="s">
        <v>4370</v>
      </c>
      <c r="G905" s="19" t="s">
        <v>4192</v>
      </c>
      <c r="H905" s="19" t="s">
        <v>719</v>
      </c>
      <c r="I905" s="19" t="s">
        <v>727</v>
      </c>
      <c r="J905" s="19" t="s">
        <v>1068</v>
      </c>
      <c r="K905" s="19" t="s">
        <v>720</v>
      </c>
      <c r="L905" s="19" t="s">
        <v>721</v>
      </c>
      <c r="M905" s="19" t="s">
        <v>722</v>
      </c>
      <c r="N905" s="19"/>
      <c r="O905" s="19" t="s">
        <v>4193</v>
      </c>
    </row>
    <row r="906" customFormat="false" ht="32.8" hidden="false" customHeight="false" outlineLevel="0" collapsed="false">
      <c r="A906" s="19" t="s">
        <v>4371</v>
      </c>
      <c r="B906" s="19" t="s">
        <v>728</v>
      </c>
      <c r="C906" s="19" t="str">
        <f aca="false">IFERROR(INDEX('Agent Roster'!$B:$B,MATCH(B906,'Agent Roster'!$A:$A,0)),"UNASSIGNED")</f>
        <v>Project Manager Agent</v>
      </c>
      <c r="D906" s="19" t="str">
        <f aca="false">IFERROR(INDEX('Agent Roster'!$D:$D,MATCH(B906,'Agent Roster'!$A:$A,0)),"UNASSIGNED")</f>
        <v>4 · Operations Hub</v>
      </c>
      <c r="E906" s="19" t="s">
        <v>4372</v>
      </c>
      <c r="F906" s="19" t="s">
        <v>4373</v>
      </c>
      <c r="G906" s="19" t="s">
        <v>4192</v>
      </c>
      <c r="H906" s="19" t="s">
        <v>731</v>
      </c>
      <c r="I906" s="19" t="s">
        <v>739</v>
      </c>
      <c r="J906" s="19" t="s">
        <v>1068</v>
      </c>
      <c r="K906" s="19" t="s">
        <v>732</v>
      </c>
      <c r="L906" s="19" t="s">
        <v>733</v>
      </c>
      <c r="M906" s="19" t="s">
        <v>734</v>
      </c>
      <c r="N906" s="19" t="s">
        <v>736</v>
      </c>
      <c r="O906" s="19" t="s">
        <v>4193</v>
      </c>
    </row>
    <row r="907" customFormat="false" ht="32.8" hidden="false" customHeight="false" outlineLevel="0" collapsed="false">
      <c r="A907" s="19" t="s">
        <v>4374</v>
      </c>
      <c r="B907" s="19" t="s">
        <v>740</v>
      </c>
      <c r="C907" s="19" t="str">
        <f aca="false">IFERROR(INDEX('Agent Roster'!$B:$B,MATCH(B907,'Agent Roster'!$A:$A,0)),"UNASSIGNED")</f>
        <v>Vendor Manager Agent</v>
      </c>
      <c r="D907" s="19" t="str">
        <f aca="false">IFERROR(INDEX('Agent Roster'!$D:$D,MATCH(B907,'Agent Roster'!$A:$A,0)),"UNASSIGNED")</f>
        <v>4 · Operations Hub</v>
      </c>
      <c r="E907" s="19" t="s">
        <v>4375</v>
      </c>
      <c r="F907" s="19" t="s">
        <v>4376</v>
      </c>
      <c r="G907" s="19" t="s">
        <v>4192</v>
      </c>
      <c r="H907" s="19" t="s">
        <v>743</v>
      </c>
      <c r="I907" s="19" t="s">
        <v>751</v>
      </c>
      <c r="J907" s="19" t="s">
        <v>1068</v>
      </c>
      <c r="K907" s="19" t="s">
        <v>744</v>
      </c>
      <c r="L907" s="19" t="s">
        <v>745</v>
      </c>
      <c r="M907" s="19" t="s">
        <v>746</v>
      </c>
      <c r="N907" s="19" t="s">
        <v>748</v>
      </c>
      <c r="O907" s="19" t="s">
        <v>4193</v>
      </c>
    </row>
    <row r="908" customFormat="false" ht="22.35" hidden="false" customHeight="false" outlineLevel="0" collapsed="false">
      <c r="A908" s="19" t="s">
        <v>4377</v>
      </c>
      <c r="B908" s="19" t="s">
        <v>752</v>
      </c>
      <c r="C908" s="19" t="str">
        <f aca="false">IFERROR(INDEX('Agent Roster'!$B:$B,MATCH(B908,'Agent Roster'!$A:$A,0)),"UNASSIGNED")</f>
        <v>Client Build Agent</v>
      </c>
      <c r="D908" s="19" t="str">
        <f aca="false">IFERROR(INDEX('Agent Roster'!$D:$D,MATCH(B908,'Agent Roster'!$A:$A,0)),"UNASSIGNED")</f>
        <v>4 · Operations Hub</v>
      </c>
      <c r="E908" s="19" t="s">
        <v>4378</v>
      </c>
      <c r="F908" s="19" t="s">
        <v>4379</v>
      </c>
      <c r="G908" s="19" t="s">
        <v>4192</v>
      </c>
      <c r="H908" s="19" t="s">
        <v>755</v>
      </c>
      <c r="I908" s="19" t="s">
        <v>763</v>
      </c>
      <c r="J908" s="19" t="s">
        <v>1068</v>
      </c>
      <c r="K908" s="19" t="s">
        <v>756</v>
      </c>
      <c r="L908" s="19" t="s">
        <v>757</v>
      </c>
      <c r="M908" s="19" t="s">
        <v>758</v>
      </c>
      <c r="N908" s="19"/>
      <c r="O908" s="19" t="s">
        <v>4193</v>
      </c>
    </row>
    <row r="909" customFormat="false" ht="43.25" hidden="false" customHeight="false" outlineLevel="0" collapsed="false">
      <c r="A909" s="19" t="s">
        <v>4380</v>
      </c>
      <c r="B909" s="19" t="s">
        <v>764</v>
      </c>
      <c r="C909" s="19" t="str">
        <f aca="false">IFERROR(INDEX('Agent Roster'!$B:$B,MATCH(B909,'Agent Roster'!$A:$A,0)),"UNASSIGNED")</f>
        <v>Finance Hub Lead</v>
      </c>
      <c r="D909" s="19" t="str">
        <f aca="false">IFERROR(INDEX('Agent Roster'!$D:$D,MATCH(B909,'Agent Roster'!$A:$A,0)),"UNASSIGNED")</f>
        <v>5 · Finance Hub</v>
      </c>
      <c r="E909" s="19" t="s">
        <v>4381</v>
      </c>
      <c r="F909" s="19" t="s">
        <v>4382</v>
      </c>
      <c r="G909" s="19" t="s">
        <v>4192</v>
      </c>
      <c r="H909" s="19" t="s">
        <v>770</v>
      </c>
      <c r="I909" s="19" t="s">
        <v>402</v>
      </c>
      <c r="J909" s="19" t="s">
        <v>1068</v>
      </c>
      <c r="K909" s="19" t="s">
        <v>395</v>
      </c>
      <c r="L909" s="19" t="s">
        <v>396</v>
      </c>
      <c r="M909" s="19" t="s">
        <v>397</v>
      </c>
      <c r="N909" s="19" t="s">
        <v>399</v>
      </c>
      <c r="O909" s="19" t="s">
        <v>4193</v>
      </c>
    </row>
    <row r="910" customFormat="false" ht="22.35" hidden="false" customHeight="false" outlineLevel="0" collapsed="false">
      <c r="A910" s="19" t="s">
        <v>4383</v>
      </c>
      <c r="B910" s="19" t="s">
        <v>773</v>
      </c>
      <c r="C910" s="19" t="str">
        <f aca="false">IFERROR(INDEX('Agent Roster'!$B:$B,MATCH(B910,'Agent Roster'!$A:$A,0)),"UNASSIGNED")</f>
        <v>Capital Manager</v>
      </c>
      <c r="D910" s="19" t="str">
        <f aca="false">IFERROR(INDEX('Agent Roster'!$D:$D,MATCH(B910,'Agent Roster'!$A:$A,0)),"UNASSIGNED")</f>
        <v>5 · Finance Hub</v>
      </c>
      <c r="E910" s="19" t="s">
        <v>4384</v>
      </c>
      <c r="F910" s="19" t="s">
        <v>4385</v>
      </c>
      <c r="G910" s="19" t="s">
        <v>4192</v>
      </c>
      <c r="H910" s="19" t="s">
        <v>776</v>
      </c>
      <c r="I910" s="19" t="s">
        <v>784</v>
      </c>
      <c r="J910" s="19" t="s">
        <v>1068</v>
      </c>
      <c r="K910" s="19" t="s">
        <v>777</v>
      </c>
      <c r="L910" s="19" t="s">
        <v>778</v>
      </c>
      <c r="M910" s="19" t="s">
        <v>779</v>
      </c>
      <c r="N910" s="19" t="s">
        <v>781</v>
      </c>
      <c r="O910" s="19" t="s">
        <v>4193</v>
      </c>
    </row>
    <row r="911" customFormat="false" ht="22.35" hidden="false" customHeight="false" outlineLevel="0" collapsed="false">
      <c r="A911" s="19" t="s">
        <v>4386</v>
      </c>
      <c r="B911" s="19" t="s">
        <v>785</v>
      </c>
      <c r="C911" s="19" t="str">
        <f aca="false">IFERROR(INDEX('Agent Roster'!$B:$B,MATCH(B911,'Agent Roster'!$A:$A,0)),"UNASSIGNED")</f>
        <v>Budgeting Agent</v>
      </c>
      <c r="D911" s="19" t="str">
        <f aca="false">IFERROR(INDEX('Agent Roster'!$D:$D,MATCH(B911,'Agent Roster'!$A:$A,0)),"UNASSIGNED")</f>
        <v>5 · Finance Hub</v>
      </c>
      <c r="E911" s="19" t="s">
        <v>4387</v>
      </c>
      <c r="F911" s="19" t="s">
        <v>4388</v>
      </c>
      <c r="G911" s="19" t="s">
        <v>4192</v>
      </c>
      <c r="H911" s="19" t="s">
        <v>788</v>
      </c>
      <c r="I911" s="19" t="s">
        <v>796</v>
      </c>
      <c r="J911" s="19" t="s">
        <v>1068</v>
      </c>
      <c r="K911" s="19" t="s">
        <v>789</v>
      </c>
      <c r="L911" s="19" t="s">
        <v>790</v>
      </c>
      <c r="M911" s="19" t="s">
        <v>791</v>
      </c>
      <c r="N911" s="19" t="s">
        <v>793</v>
      </c>
      <c r="O911" s="19" t="s">
        <v>4193</v>
      </c>
    </row>
    <row r="912" customFormat="false" ht="22.35" hidden="false" customHeight="false" outlineLevel="0" collapsed="false">
      <c r="A912" s="19" t="s">
        <v>4389</v>
      </c>
      <c r="B912" s="19" t="s">
        <v>797</v>
      </c>
      <c r="C912" s="19" t="str">
        <f aca="false">IFERROR(INDEX('Agent Roster'!$B:$B,MATCH(B912,'Agent Roster'!$A:$A,0)),"UNASSIGNED")</f>
        <v>Forecasting Agent</v>
      </c>
      <c r="D912" s="19" t="str">
        <f aca="false">IFERROR(INDEX('Agent Roster'!$D:$D,MATCH(B912,'Agent Roster'!$A:$A,0)),"UNASSIGNED")</f>
        <v>5 · Finance Hub</v>
      </c>
      <c r="E912" s="19" t="s">
        <v>4390</v>
      </c>
      <c r="F912" s="19" t="s">
        <v>4391</v>
      </c>
      <c r="G912" s="19" t="s">
        <v>4192</v>
      </c>
      <c r="H912" s="19" t="s">
        <v>800</v>
      </c>
      <c r="I912" s="19" t="s">
        <v>806</v>
      </c>
      <c r="J912" s="19" t="s">
        <v>1068</v>
      </c>
      <c r="K912" s="19" t="s">
        <v>801</v>
      </c>
      <c r="L912" s="19" t="s">
        <v>802</v>
      </c>
      <c r="M912" s="19" t="s">
        <v>791</v>
      </c>
      <c r="N912" s="19"/>
      <c r="O912" s="19" t="s">
        <v>4193</v>
      </c>
    </row>
    <row r="913" customFormat="false" ht="22.35" hidden="false" customHeight="false" outlineLevel="0" collapsed="false">
      <c r="A913" s="19" t="s">
        <v>4392</v>
      </c>
      <c r="B913" s="19" t="s">
        <v>807</v>
      </c>
      <c r="C913" s="19" t="str">
        <f aca="false">IFERROR(INDEX('Agent Roster'!$B:$B,MATCH(B913,'Agent Roster'!$A:$A,0)),"UNASSIGNED")</f>
        <v>Financial Reporting Agent</v>
      </c>
      <c r="D913" s="19" t="str">
        <f aca="false">IFERROR(INDEX('Agent Roster'!$D:$D,MATCH(B913,'Agent Roster'!$A:$A,0)),"UNASSIGNED")</f>
        <v>5 · Finance Hub</v>
      </c>
      <c r="E913" s="19" t="s">
        <v>4393</v>
      </c>
      <c r="F913" s="19" t="s">
        <v>4394</v>
      </c>
      <c r="G913" s="19" t="s">
        <v>4192</v>
      </c>
      <c r="H913" s="19" t="s">
        <v>810</v>
      </c>
      <c r="I913" s="19" t="s">
        <v>796</v>
      </c>
      <c r="J913" s="19" t="s">
        <v>1068</v>
      </c>
      <c r="K913" s="19" t="s">
        <v>811</v>
      </c>
      <c r="L913" s="19" t="s">
        <v>812</v>
      </c>
      <c r="M913" s="19" t="s">
        <v>813</v>
      </c>
      <c r="N913" s="19"/>
      <c r="O913" s="19" t="s">
        <v>4193</v>
      </c>
    </row>
    <row r="914" customFormat="false" ht="22.35" hidden="false" customHeight="false" outlineLevel="0" collapsed="false">
      <c r="A914" s="19" t="s">
        <v>4395</v>
      </c>
      <c r="B914" s="19" t="s">
        <v>817</v>
      </c>
      <c r="C914" s="19" t="str">
        <f aca="false">IFERROR(INDEX('Agent Roster'!$B:$B,MATCH(B914,'Agent Roster'!$A:$A,0)),"UNASSIGNED")</f>
        <v>Commission Agent</v>
      </c>
      <c r="D914" s="19" t="str">
        <f aca="false">IFERROR(INDEX('Agent Roster'!$D:$D,MATCH(B914,'Agent Roster'!$A:$A,0)),"UNASSIGNED")</f>
        <v>5 · Finance Hub</v>
      </c>
      <c r="E914" s="19" t="s">
        <v>4396</v>
      </c>
      <c r="F914" s="19" t="s">
        <v>4397</v>
      </c>
      <c r="G914" s="19" t="s">
        <v>4192</v>
      </c>
      <c r="H914" s="19" t="s">
        <v>820</v>
      </c>
      <c r="I914" s="19" t="s">
        <v>796</v>
      </c>
      <c r="J914" s="19" t="s">
        <v>1068</v>
      </c>
      <c r="K914" s="19" t="s">
        <v>821</v>
      </c>
      <c r="L914" s="19" t="s">
        <v>822</v>
      </c>
      <c r="M914" s="19" t="s">
        <v>823</v>
      </c>
      <c r="N914" s="19" t="s">
        <v>825</v>
      </c>
      <c r="O914" s="19" t="s">
        <v>4193</v>
      </c>
    </row>
    <row r="915" customFormat="false" ht="32.8" hidden="false" customHeight="false" outlineLevel="0" collapsed="false">
      <c r="A915" s="19" t="s">
        <v>4398</v>
      </c>
      <c r="B915" s="19" t="s">
        <v>828</v>
      </c>
      <c r="C915" s="19" t="str">
        <f aca="false">IFERROR(INDEX('Agent Roster'!$B:$B,MATCH(B915,'Agent Roster'!$A:$A,0)),"UNASSIGNED")</f>
        <v>Pricing Agent</v>
      </c>
      <c r="D915" s="19" t="str">
        <f aca="false">IFERROR(INDEX('Agent Roster'!$D:$D,MATCH(B915,'Agent Roster'!$A:$A,0)),"UNASSIGNED")</f>
        <v>5 · Finance Hub</v>
      </c>
      <c r="E915" s="19" t="s">
        <v>4399</v>
      </c>
      <c r="F915" s="19" t="s">
        <v>4400</v>
      </c>
      <c r="G915" s="19" t="s">
        <v>4192</v>
      </c>
      <c r="H915" s="19" t="s">
        <v>831</v>
      </c>
      <c r="I915" s="19" t="s">
        <v>839</v>
      </c>
      <c r="J915" s="19" t="s">
        <v>1068</v>
      </c>
      <c r="K915" s="19" t="s">
        <v>832</v>
      </c>
      <c r="L915" s="19" t="s">
        <v>833</v>
      </c>
      <c r="M915" s="19" t="s">
        <v>834</v>
      </c>
      <c r="N915" s="19" t="s">
        <v>836</v>
      </c>
      <c r="O915" s="19" t="s">
        <v>4193</v>
      </c>
    </row>
    <row r="916" customFormat="false" ht="32.8" hidden="false" customHeight="false" outlineLevel="0" collapsed="false">
      <c r="A916" s="19" t="s">
        <v>4401</v>
      </c>
      <c r="B916" s="19" t="s">
        <v>840</v>
      </c>
      <c r="C916" s="19" t="str">
        <f aca="false">IFERROR(INDEX('Agent Roster'!$B:$B,MATCH(B916,'Agent Roster'!$A:$A,0)),"UNASSIGNED")</f>
        <v>Capital Flow Accounting &amp; Collections Agent</v>
      </c>
      <c r="D916" s="19" t="str">
        <f aca="false">IFERROR(INDEX('Agent Roster'!$D:$D,MATCH(B916,'Agent Roster'!$A:$A,0)),"UNASSIGNED")</f>
        <v>5 · Finance Hub</v>
      </c>
      <c r="E916" s="19" t="s">
        <v>4402</v>
      </c>
      <c r="F916" s="19" t="s">
        <v>4403</v>
      </c>
      <c r="G916" s="19" t="s">
        <v>4192</v>
      </c>
      <c r="H916" s="19" t="s">
        <v>843</v>
      </c>
      <c r="I916" s="19" t="s">
        <v>850</v>
      </c>
      <c r="J916" s="19" t="s">
        <v>1068</v>
      </c>
      <c r="K916" s="19" t="s">
        <v>844</v>
      </c>
      <c r="L916" s="19" t="s">
        <v>845</v>
      </c>
      <c r="M916" s="19" t="s">
        <v>807</v>
      </c>
      <c r="N916" s="19" t="s">
        <v>847</v>
      </c>
      <c r="O916" s="19" t="s">
        <v>4193</v>
      </c>
    </row>
    <row r="917" customFormat="false" ht="43.25" hidden="false" customHeight="false" outlineLevel="0" collapsed="false">
      <c r="A917" s="19" t="s">
        <v>4404</v>
      </c>
      <c r="B917" s="19" t="s">
        <v>851</v>
      </c>
      <c r="C917" s="19" t="str">
        <f aca="false">IFERROR(INDEX('Agent Roster'!$B:$B,MATCH(B917,'Agent Roster'!$A:$A,0)),"UNASSIGNED")</f>
        <v>HR &amp; Culture Hub Lead</v>
      </c>
      <c r="D917" s="19" t="str">
        <f aca="false">IFERROR(INDEX('Agent Roster'!$D:$D,MATCH(B917,'Agent Roster'!$A:$A,0)),"UNASSIGNED")</f>
        <v>6 · HR &amp; Culture Hub</v>
      </c>
      <c r="E917" s="19" t="s">
        <v>4405</v>
      </c>
      <c r="F917" s="19" t="s">
        <v>4406</v>
      </c>
      <c r="G917" s="19" t="s">
        <v>4192</v>
      </c>
      <c r="H917" s="19" t="s">
        <v>856</v>
      </c>
      <c r="I917" s="19" t="s">
        <v>402</v>
      </c>
      <c r="J917" s="19" t="s">
        <v>1068</v>
      </c>
      <c r="K917" s="19" t="s">
        <v>395</v>
      </c>
      <c r="L917" s="19" t="s">
        <v>396</v>
      </c>
      <c r="M917" s="19" t="s">
        <v>397</v>
      </c>
      <c r="N917" s="19" t="s">
        <v>399</v>
      </c>
      <c r="O917" s="19" t="s">
        <v>4193</v>
      </c>
    </row>
    <row r="918" customFormat="false" ht="22.35" hidden="false" customHeight="false" outlineLevel="0" collapsed="false">
      <c r="A918" s="19" t="s">
        <v>4407</v>
      </c>
      <c r="B918" s="19" t="s">
        <v>859</v>
      </c>
      <c r="C918" s="19" t="str">
        <f aca="false">IFERROR(INDEX('Agent Roster'!$B:$B,MATCH(B918,'Agent Roster'!$A:$A,0)),"UNASSIGNED")</f>
        <v>Recruiting Agent</v>
      </c>
      <c r="D918" s="19" t="str">
        <f aca="false">IFERROR(INDEX('Agent Roster'!$D:$D,MATCH(B918,'Agent Roster'!$A:$A,0)),"UNASSIGNED")</f>
        <v>6 · HR &amp; Culture Hub</v>
      </c>
      <c r="E918" s="19" t="s">
        <v>4408</v>
      </c>
      <c r="F918" s="19" t="s">
        <v>4409</v>
      </c>
      <c r="G918" s="19" t="s">
        <v>4192</v>
      </c>
      <c r="H918" s="19" t="s">
        <v>862</v>
      </c>
      <c r="I918" s="19" t="s">
        <v>870</v>
      </c>
      <c r="J918" s="19" t="s">
        <v>1068</v>
      </c>
      <c r="K918" s="19" t="s">
        <v>863</v>
      </c>
      <c r="L918" s="19" t="s">
        <v>864</v>
      </c>
      <c r="M918" s="19" t="s">
        <v>865</v>
      </c>
      <c r="N918" s="19" t="s">
        <v>867</v>
      </c>
      <c r="O918" s="19" t="s">
        <v>4193</v>
      </c>
    </row>
    <row r="919" customFormat="false" ht="22.35" hidden="false" customHeight="false" outlineLevel="0" collapsed="false">
      <c r="A919" s="19" t="s">
        <v>4410</v>
      </c>
      <c r="B919" s="19" t="s">
        <v>871</v>
      </c>
      <c r="C919" s="19" t="str">
        <f aca="false">IFERROR(INDEX('Agent Roster'!$B:$B,MATCH(B919,'Agent Roster'!$A:$A,0)),"UNASSIGNED")</f>
        <v>Offer &amp; Compensation Agent</v>
      </c>
      <c r="D919" s="19" t="str">
        <f aca="false">IFERROR(INDEX('Agent Roster'!$D:$D,MATCH(B919,'Agent Roster'!$A:$A,0)),"UNASSIGNED")</f>
        <v>6 · HR &amp; Culture Hub</v>
      </c>
      <c r="E919" s="19" t="s">
        <v>4411</v>
      </c>
      <c r="F919" s="19" t="s">
        <v>4412</v>
      </c>
      <c r="G919" s="19" t="s">
        <v>4192</v>
      </c>
      <c r="H919" s="19" t="s">
        <v>874</v>
      </c>
      <c r="I919" s="19" t="s">
        <v>882</v>
      </c>
      <c r="J919" s="19" t="s">
        <v>1068</v>
      </c>
      <c r="K919" s="19" t="s">
        <v>875</v>
      </c>
      <c r="L919" s="19" t="s">
        <v>876</v>
      </c>
      <c r="M919" s="19" t="s">
        <v>877</v>
      </c>
      <c r="N919" s="19" t="s">
        <v>879</v>
      </c>
      <c r="O919" s="19" t="s">
        <v>4193</v>
      </c>
    </row>
    <row r="920" customFormat="false" ht="22.35" hidden="false" customHeight="false" outlineLevel="0" collapsed="false">
      <c r="A920" s="19" t="s">
        <v>4413</v>
      </c>
      <c r="B920" s="19" t="s">
        <v>883</v>
      </c>
      <c r="C920" s="19" t="str">
        <f aca="false">IFERROR(INDEX('Agent Roster'!$B:$B,MATCH(B920,'Agent Roster'!$A:$A,0)),"UNASSIGNED")</f>
        <v>Employee Onboarding Agent (Immersion for hires)</v>
      </c>
      <c r="D920" s="19" t="str">
        <f aca="false">IFERROR(INDEX('Agent Roster'!$D:$D,MATCH(B920,'Agent Roster'!$A:$A,0)),"UNASSIGNED")</f>
        <v>6 · HR &amp; Culture Hub</v>
      </c>
      <c r="E920" s="19" t="s">
        <v>4414</v>
      </c>
      <c r="F920" s="19" t="s">
        <v>4415</v>
      </c>
      <c r="G920" s="19" t="s">
        <v>4192</v>
      </c>
      <c r="H920" s="19" t="s">
        <v>886</v>
      </c>
      <c r="I920" s="19" t="s">
        <v>893</v>
      </c>
      <c r="J920" s="19" t="s">
        <v>1068</v>
      </c>
      <c r="K920" s="19" t="s">
        <v>887</v>
      </c>
      <c r="L920" s="19" t="s">
        <v>888</v>
      </c>
      <c r="M920" s="19" t="s">
        <v>889</v>
      </c>
      <c r="N920" s="19"/>
      <c r="O920" s="19" t="s">
        <v>4193</v>
      </c>
    </row>
    <row r="921" customFormat="false" ht="22.35" hidden="false" customHeight="false" outlineLevel="0" collapsed="false">
      <c r="A921" s="19" t="s">
        <v>4416</v>
      </c>
      <c r="B921" s="19" t="s">
        <v>894</v>
      </c>
      <c r="C921" s="19" t="str">
        <f aca="false">IFERROR(INDEX('Agent Roster'!$B:$B,MATCH(B921,'Agent Roster'!$A:$A,0)),"UNASSIGNED")</f>
        <v>Performance Review Agent</v>
      </c>
      <c r="D921" s="19" t="str">
        <f aca="false">IFERROR(INDEX('Agent Roster'!$D:$D,MATCH(B921,'Agent Roster'!$A:$A,0)),"UNASSIGNED")</f>
        <v>6 · HR &amp; Culture Hub</v>
      </c>
      <c r="E921" s="19" t="s">
        <v>4417</v>
      </c>
      <c r="F921" s="19" t="s">
        <v>4418</v>
      </c>
      <c r="G921" s="19" t="s">
        <v>4192</v>
      </c>
      <c r="H921" s="19" t="s">
        <v>897</v>
      </c>
      <c r="I921" s="19" t="s">
        <v>905</v>
      </c>
      <c r="J921" s="19" t="s">
        <v>1068</v>
      </c>
      <c r="K921" s="19" t="s">
        <v>898</v>
      </c>
      <c r="L921" s="19" t="s">
        <v>899</v>
      </c>
      <c r="M921" s="19" t="s">
        <v>900</v>
      </c>
      <c r="N921" s="19" t="s">
        <v>902</v>
      </c>
      <c r="O921" s="19" t="s">
        <v>4193</v>
      </c>
    </row>
    <row r="922" customFormat="false" ht="22.35" hidden="false" customHeight="false" outlineLevel="0" collapsed="false">
      <c r="A922" s="19" t="s">
        <v>4419</v>
      </c>
      <c r="B922" s="19" t="s">
        <v>906</v>
      </c>
      <c r="C922" s="19" t="str">
        <f aca="false">IFERROR(INDEX('Agent Roster'!$B:$B,MATCH(B922,'Agent Roster'!$A:$A,0)),"UNASSIGNED")</f>
        <v>Culture &amp; Ritual Steward (Mode 5)</v>
      </c>
      <c r="D922" s="19" t="str">
        <f aca="false">IFERROR(INDEX('Agent Roster'!$D:$D,MATCH(B922,'Agent Roster'!$A:$A,0)),"UNASSIGNED")</f>
        <v>6 · HR &amp; Culture Hub</v>
      </c>
      <c r="E922" s="19" t="s">
        <v>4420</v>
      </c>
      <c r="F922" s="19" t="s">
        <v>4421</v>
      </c>
      <c r="G922" s="19" t="s">
        <v>4192</v>
      </c>
      <c r="H922" s="19" t="s">
        <v>909</v>
      </c>
      <c r="I922" s="19" t="s">
        <v>916</v>
      </c>
      <c r="J922" s="19" t="s">
        <v>1068</v>
      </c>
      <c r="K922" s="19" t="s">
        <v>910</v>
      </c>
      <c r="L922" s="19" t="s">
        <v>911</v>
      </c>
      <c r="M922" s="19" t="s">
        <v>912</v>
      </c>
      <c r="N922" s="19"/>
      <c r="O922" s="19" t="s">
        <v>4193</v>
      </c>
    </row>
    <row r="923" customFormat="false" ht="22.35" hidden="false" customHeight="false" outlineLevel="0" collapsed="false">
      <c r="A923" s="19" t="s">
        <v>4422</v>
      </c>
      <c r="B923" s="19" t="s">
        <v>917</v>
      </c>
      <c r="C923" s="19" t="str">
        <f aca="false">IFERROR(INDEX('Agent Roster'!$B:$B,MATCH(B923,'Agent Roster'!$A:$A,0)),"UNASSIGNED")</f>
        <v>Org Design Agent</v>
      </c>
      <c r="D923" s="19" t="str">
        <f aca="false">IFERROR(INDEX('Agent Roster'!$D:$D,MATCH(B923,'Agent Roster'!$A:$A,0)),"UNASSIGNED")</f>
        <v>6 · HR &amp; Culture Hub</v>
      </c>
      <c r="E923" s="19" t="s">
        <v>4423</v>
      </c>
      <c r="F923" s="19" t="s">
        <v>4424</v>
      </c>
      <c r="G923" s="19" t="s">
        <v>4192</v>
      </c>
      <c r="H923" s="19" t="s">
        <v>920</v>
      </c>
      <c r="I923" s="19" t="s">
        <v>928</v>
      </c>
      <c r="J923" s="19" t="s">
        <v>1068</v>
      </c>
      <c r="K923" s="19" t="s">
        <v>921</v>
      </c>
      <c r="L923" s="19" t="s">
        <v>922</v>
      </c>
      <c r="M923" s="19" t="s">
        <v>923</v>
      </c>
      <c r="N923" s="19" t="s">
        <v>925</v>
      </c>
      <c r="O923" s="19" t="s">
        <v>4193</v>
      </c>
    </row>
    <row r="924" customFormat="false" ht="22.35" hidden="false" customHeight="false" outlineLevel="0" collapsed="false">
      <c r="A924" s="19" t="s">
        <v>4425</v>
      </c>
      <c r="B924" s="19" t="s">
        <v>929</v>
      </c>
      <c r="C924" s="19" t="str">
        <f aca="false">IFERROR(INDEX('Agent Roster'!$B:$B,MATCH(B924,'Agent Roster'!$A:$A,0)),"UNASSIGNED")</f>
        <v>Learning &amp; Development Agent</v>
      </c>
      <c r="D924" s="19" t="str">
        <f aca="false">IFERROR(INDEX('Agent Roster'!$D:$D,MATCH(B924,'Agent Roster'!$A:$A,0)),"UNASSIGNED")</f>
        <v>6 · HR &amp; Culture Hub</v>
      </c>
      <c r="E924" s="19" t="s">
        <v>4426</v>
      </c>
      <c r="F924" s="19" t="s">
        <v>4427</v>
      </c>
      <c r="G924" s="19" t="s">
        <v>4192</v>
      </c>
      <c r="H924" s="19" t="s">
        <v>932</v>
      </c>
      <c r="I924" s="19" t="s">
        <v>940</v>
      </c>
      <c r="J924" s="19" t="s">
        <v>1068</v>
      </c>
      <c r="K924" s="19" t="s">
        <v>933</v>
      </c>
      <c r="L924" s="19" t="s">
        <v>934</v>
      </c>
      <c r="M924" s="19" t="s">
        <v>935</v>
      </c>
      <c r="N924" s="19"/>
      <c r="O924" s="19" t="s">
        <v>4193</v>
      </c>
    </row>
    <row r="925" customFormat="false" ht="32.8" hidden="false" customHeight="false" outlineLevel="0" collapsed="false">
      <c r="A925" s="19" t="s">
        <v>4428</v>
      </c>
      <c r="B925" s="19" t="s">
        <v>941</v>
      </c>
      <c r="C925" s="19" t="str">
        <f aca="false">IFERROR(INDEX('Agent Roster'!$B:$B,MATCH(B925,'Agent Roster'!$A:$A,0)),"UNASSIGNED")</f>
        <v>Conflict Resolution Agent</v>
      </c>
      <c r="D925" s="19" t="str">
        <f aca="false">IFERROR(INDEX('Agent Roster'!$D:$D,MATCH(B925,'Agent Roster'!$A:$A,0)),"UNASSIGNED")</f>
        <v>6 · HR &amp; Culture Hub</v>
      </c>
      <c r="E925" s="19" t="s">
        <v>4429</v>
      </c>
      <c r="F925" s="19" t="s">
        <v>4430</v>
      </c>
      <c r="G925" s="19" t="s">
        <v>4192</v>
      </c>
      <c r="H925" s="19" t="s">
        <v>944</v>
      </c>
      <c r="I925" s="19" t="s">
        <v>952</v>
      </c>
      <c r="J925" s="19" t="s">
        <v>1068</v>
      </c>
      <c r="K925" s="19" t="s">
        <v>945</v>
      </c>
      <c r="L925" s="19" t="s">
        <v>946</v>
      </c>
      <c r="M925" s="19" t="s">
        <v>947</v>
      </c>
      <c r="N925" s="19" t="s">
        <v>949</v>
      </c>
      <c r="O925" s="19" t="s">
        <v>4193</v>
      </c>
    </row>
    <row r="926" customFormat="false" ht="22.35" hidden="false" customHeight="false" outlineLevel="0" collapsed="false">
      <c r="A926" s="19" t="s">
        <v>4431</v>
      </c>
      <c r="B926" s="19" t="s">
        <v>953</v>
      </c>
      <c r="C926" s="19" t="str">
        <f aca="false">IFERROR(INDEX('Agent Roster'!$B:$B,MATCH(B926,'Agent Roster'!$A:$A,0)),"UNASSIGNED")</f>
        <v>Meeting &amp; Group Facilitation Agent</v>
      </c>
      <c r="D926" s="19" t="str">
        <f aca="false">IFERROR(INDEX('Agent Roster'!$D:$D,MATCH(B926,'Agent Roster'!$A:$A,0)),"UNASSIGNED")</f>
        <v>6 · HR &amp; Culture Hub</v>
      </c>
      <c r="E926" s="19" t="s">
        <v>4432</v>
      </c>
      <c r="F926" s="19" t="s">
        <v>4433</v>
      </c>
      <c r="G926" s="19" t="s">
        <v>4192</v>
      </c>
      <c r="H926" s="19" t="s">
        <v>956</v>
      </c>
      <c r="I926" s="19" t="s">
        <v>963</v>
      </c>
      <c r="J926" s="19" t="s">
        <v>1068</v>
      </c>
      <c r="K926" s="19" t="s">
        <v>957</v>
      </c>
      <c r="L926" s="19" t="s">
        <v>958</v>
      </c>
      <c r="M926" s="19" t="s">
        <v>302</v>
      </c>
      <c r="N926" s="19" t="s">
        <v>960</v>
      </c>
      <c r="O926" s="19" t="s">
        <v>4193</v>
      </c>
    </row>
    <row r="927" customFormat="false" ht="32.8" hidden="false" customHeight="false" outlineLevel="0" collapsed="false">
      <c r="A927" s="19" t="s">
        <v>4434</v>
      </c>
      <c r="B927" s="19" t="s">
        <v>964</v>
      </c>
      <c r="C927" s="19" t="str">
        <f aca="false">IFERROR(INDEX('Agent Roster'!$B:$B,MATCH(B927,'Agent Roster'!$A:$A,0)),"UNASSIGNED")</f>
        <v>Compliance &amp; Legal Strategy Agent</v>
      </c>
      <c r="D927" s="19" t="str">
        <f aca="false">IFERROR(INDEX('Agent Roster'!$D:$D,MATCH(B927,'Agent Roster'!$A:$A,0)),"UNASSIGNED")</f>
        <v>6 · HR &amp; Culture Hub</v>
      </c>
      <c r="E927" s="19" t="s">
        <v>4435</v>
      </c>
      <c r="F927" s="19" t="s">
        <v>4436</v>
      </c>
      <c r="G927" s="19" t="s">
        <v>4192</v>
      </c>
      <c r="H927" s="19" t="s">
        <v>967</v>
      </c>
      <c r="I927" s="19" t="s">
        <v>975</v>
      </c>
      <c r="J927" s="19" t="s">
        <v>1068</v>
      </c>
      <c r="K927" s="19" t="s">
        <v>968</v>
      </c>
      <c r="L927" s="19" t="s">
        <v>969</v>
      </c>
      <c r="M927" s="19" t="s">
        <v>970</v>
      </c>
      <c r="N927" s="19" t="s">
        <v>972</v>
      </c>
      <c r="O927" s="19" t="s">
        <v>4193</v>
      </c>
    </row>
    <row r="928" customFormat="false" ht="43.25" hidden="false" customHeight="false" outlineLevel="0" collapsed="false">
      <c r="A928" s="19" t="s">
        <v>4437</v>
      </c>
      <c r="B928" s="19" t="s">
        <v>976</v>
      </c>
      <c r="C928" s="19" t="str">
        <f aca="false">IFERROR(INDEX('Agent Roster'!$B:$B,MATCH(B928,'Agent Roster'!$A:$A,0)),"UNASSIGNED")</f>
        <v>Technology Hub Lead</v>
      </c>
      <c r="D928" s="19" t="str">
        <f aca="false">IFERROR(INDEX('Agent Roster'!$D:$D,MATCH(B928,'Agent Roster'!$A:$A,0)),"UNASSIGNED")</f>
        <v>7 · Technology Hub</v>
      </c>
      <c r="E928" s="19" t="s">
        <v>4438</v>
      </c>
      <c r="F928" s="19" t="s">
        <v>4439</v>
      </c>
      <c r="G928" s="19" t="s">
        <v>4192</v>
      </c>
      <c r="H928" s="19" t="s">
        <v>981</v>
      </c>
      <c r="I928" s="19" t="s">
        <v>402</v>
      </c>
      <c r="J928" s="19" t="s">
        <v>1068</v>
      </c>
      <c r="K928" s="19" t="s">
        <v>395</v>
      </c>
      <c r="L928" s="19" t="s">
        <v>396</v>
      </c>
      <c r="M928" s="19" t="s">
        <v>397</v>
      </c>
      <c r="N928" s="19" t="s">
        <v>399</v>
      </c>
      <c r="O928" s="19" t="s">
        <v>4193</v>
      </c>
    </row>
    <row r="929" customFormat="false" ht="32.8" hidden="false" customHeight="false" outlineLevel="0" collapsed="false">
      <c r="A929" s="19" t="s">
        <v>4440</v>
      </c>
      <c r="B929" s="19" t="s">
        <v>984</v>
      </c>
      <c r="C929" s="19" t="str">
        <f aca="false">IFERROR(INDEX('Agent Roster'!$B:$B,MATCH(B929,'Agent Roster'!$A:$A,0)),"UNASSIGNED")</f>
        <v>Platform Architect</v>
      </c>
      <c r="D929" s="19" t="str">
        <f aca="false">IFERROR(INDEX('Agent Roster'!$D:$D,MATCH(B929,'Agent Roster'!$A:$A,0)),"UNASSIGNED")</f>
        <v>7 · Technology Hub</v>
      </c>
      <c r="E929" s="19" t="s">
        <v>4441</v>
      </c>
      <c r="F929" s="19" t="s">
        <v>4442</v>
      </c>
      <c r="G929" s="19" t="s">
        <v>4192</v>
      </c>
      <c r="H929" s="19" t="s">
        <v>987</v>
      </c>
      <c r="I929" s="19" t="s">
        <v>996</v>
      </c>
      <c r="J929" s="19" t="s">
        <v>1068</v>
      </c>
      <c r="K929" s="19" t="s">
        <v>988</v>
      </c>
      <c r="L929" s="19" t="s">
        <v>989</v>
      </c>
      <c r="M929" s="19" t="s">
        <v>990</v>
      </c>
      <c r="N929" s="19" t="s">
        <v>993</v>
      </c>
      <c r="O929" s="19" t="s">
        <v>4193</v>
      </c>
    </row>
    <row r="930" customFormat="false" ht="22.35" hidden="false" customHeight="false" outlineLevel="0" collapsed="false">
      <c r="A930" s="19" t="s">
        <v>4443</v>
      </c>
      <c r="B930" s="19" t="s">
        <v>997</v>
      </c>
      <c r="C930" s="19" t="str">
        <f aca="false">IFERROR(INDEX('Agent Roster'!$B:$B,MATCH(B930,'Agent Roster'!$A:$A,0)),"UNASSIGNED")</f>
        <v>Automation Engineer (n8n)</v>
      </c>
      <c r="D930" s="19" t="str">
        <f aca="false">IFERROR(INDEX('Agent Roster'!$D:$D,MATCH(B930,'Agent Roster'!$A:$A,0)),"UNASSIGNED")</f>
        <v>7 · Technology Hub</v>
      </c>
      <c r="E930" s="19" t="s">
        <v>4444</v>
      </c>
      <c r="F930" s="19" t="s">
        <v>4445</v>
      </c>
      <c r="G930" s="19" t="s">
        <v>4192</v>
      </c>
      <c r="H930" s="19" t="s">
        <v>1000</v>
      </c>
      <c r="I930" s="19" t="s">
        <v>1007</v>
      </c>
      <c r="J930" s="19" t="s">
        <v>1068</v>
      </c>
      <c r="K930" s="19" t="s">
        <v>1001</v>
      </c>
      <c r="L930" s="19" t="s">
        <v>1002</v>
      </c>
      <c r="M930" s="19" t="s">
        <v>711</v>
      </c>
      <c r="N930" s="19"/>
      <c r="O930" s="19" t="s">
        <v>4193</v>
      </c>
    </row>
    <row r="931" customFormat="false" ht="22.35" hidden="false" customHeight="false" outlineLevel="0" collapsed="false">
      <c r="A931" s="19" t="s">
        <v>4446</v>
      </c>
      <c r="B931" s="19" t="s">
        <v>1008</v>
      </c>
      <c r="C931" s="19" t="str">
        <f aca="false">IFERROR(INDEX('Agent Roster'!$B:$B,MATCH(B931,'Agent Roster'!$A:$A,0)),"UNASSIGNED")</f>
        <v>CRM Administrator (Lead Connector / GHL)</v>
      </c>
      <c r="D931" s="19" t="str">
        <f aca="false">IFERROR(INDEX('Agent Roster'!$D:$D,MATCH(B931,'Agent Roster'!$A:$A,0)),"UNASSIGNED")</f>
        <v>7 · Technology Hub</v>
      </c>
      <c r="E931" s="19" t="s">
        <v>4447</v>
      </c>
      <c r="F931" s="19" t="s">
        <v>4448</v>
      </c>
      <c r="G931" s="19" t="s">
        <v>4192</v>
      </c>
      <c r="H931" s="19" t="s">
        <v>1011</v>
      </c>
      <c r="I931" s="19" t="s">
        <v>1018</v>
      </c>
      <c r="J931" s="19" t="s">
        <v>1068</v>
      </c>
      <c r="K931" s="19" t="s">
        <v>1012</v>
      </c>
      <c r="L931" s="19" t="s">
        <v>1013</v>
      </c>
      <c r="M931" s="19" t="s">
        <v>1014</v>
      </c>
      <c r="N931" s="19"/>
      <c r="O931" s="19" t="s">
        <v>4193</v>
      </c>
    </row>
    <row r="932" customFormat="false" ht="22.35" hidden="false" customHeight="false" outlineLevel="0" collapsed="false">
      <c r="A932" s="19" t="s">
        <v>4449</v>
      </c>
      <c r="B932" s="19" t="s">
        <v>1019</v>
      </c>
      <c r="C932" s="19" t="str">
        <f aca="false">IFERROR(INDEX('Agent Roster'!$B:$B,MATCH(B932,'Agent Roster'!$A:$A,0)),"UNASSIGNED")</f>
        <v>Integrations Agent</v>
      </c>
      <c r="D932" s="19" t="str">
        <f aca="false">IFERROR(INDEX('Agent Roster'!$D:$D,MATCH(B932,'Agent Roster'!$A:$A,0)),"UNASSIGNED")</f>
        <v>7 · Technology Hub</v>
      </c>
      <c r="E932" s="19" t="s">
        <v>4450</v>
      </c>
      <c r="F932" s="19" t="s">
        <v>4451</v>
      </c>
      <c r="G932" s="19" t="s">
        <v>4192</v>
      </c>
      <c r="H932" s="19" t="s">
        <v>1022</v>
      </c>
      <c r="I932" s="19" t="s">
        <v>1029</v>
      </c>
      <c r="J932" s="19" t="s">
        <v>1068</v>
      </c>
      <c r="K932" s="19" t="s">
        <v>1023</v>
      </c>
      <c r="L932" s="19" t="s">
        <v>1024</v>
      </c>
      <c r="M932" s="19" t="s">
        <v>1025</v>
      </c>
      <c r="N932" s="19"/>
      <c r="O932" s="19" t="s">
        <v>4193</v>
      </c>
    </row>
    <row r="933" customFormat="false" ht="22.35" hidden="false" customHeight="false" outlineLevel="0" collapsed="false">
      <c r="A933" s="19" t="s">
        <v>4452</v>
      </c>
      <c r="B933" s="19" t="s">
        <v>1030</v>
      </c>
      <c r="C933" s="19" t="str">
        <f aca="false">IFERROR(INDEX('Agent Roster'!$B:$B,MATCH(B933,'Agent Roster'!$A:$A,0)),"UNASSIGNED")</f>
        <v>AI Workflow Agent</v>
      </c>
      <c r="D933" s="19" t="str">
        <f aca="false">IFERROR(INDEX('Agent Roster'!$D:$D,MATCH(B933,'Agent Roster'!$A:$A,0)),"UNASSIGNED")</f>
        <v>7 · Technology Hub</v>
      </c>
      <c r="E933" s="19" t="s">
        <v>4453</v>
      </c>
      <c r="F933" s="19" t="s">
        <v>4454</v>
      </c>
      <c r="G933" s="19" t="s">
        <v>4192</v>
      </c>
      <c r="H933" s="19" t="s">
        <v>1033</v>
      </c>
      <c r="I933" s="19" t="s">
        <v>1007</v>
      </c>
      <c r="J933" s="19" t="s">
        <v>1068</v>
      </c>
      <c r="K933" s="19" t="s">
        <v>1034</v>
      </c>
      <c r="L933" s="19" t="s">
        <v>1035</v>
      </c>
      <c r="M933" s="19" t="s">
        <v>1036</v>
      </c>
      <c r="N933" s="19" t="s">
        <v>1039</v>
      </c>
      <c r="O933" s="19" t="s">
        <v>4193</v>
      </c>
    </row>
    <row r="934" customFormat="false" ht="32.8" hidden="false" customHeight="false" outlineLevel="0" collapsed="false">
      <c r="A934" s="19" t="s">
        <v>4455</v>
      </c>
      <c r="B934" s="19" t="s">
        <v>1042</v>
      </c>
      <c r="C934" s="19" t="str">
        <f aca="false">IFERROR(INDEX('Agent Roster'!$B:$B,MATCH(B934,'Agent Roster'!$A:$A,0)),"UNASSIGNED")</f>
        <v>Security Agent</v>
      </c>
      <c r="D934" s="19" t="str">
        <f aca="false">IFERROR(INDEX('Agent Roster'!$D:$D,MATCH(B934,'Agent Roster'!$A:$A,0)),"UNASSIGNED")</f>
        <v>7 · Technology Hub</v>
      </c>
      <c r="E934" s="19" t="s">
        <v>4456</v>
      </c>
      <c r="F934" s="19" t="s">
        <v>4457</v>
      </c>
      <c r="G934" s="19" t="s">
        <v>4192</v>
      </c>
      <c r="H934" s="19" t="s">
        <v>1045</v>
      </c>
      <c r="I934" s="19" t="s">
        <v>1053</v>
      </c>
      <c r="J934" s="19" t="s">
        <v>1068</v>
      </c>
      <c r="K934" s="19" t="s">
        <v>1046</v>
      </c>
      <c r="L934" s="19" t="s">
        <v>1047</v>
      </c>
      <c r="M934" s="19" t="s">
        <v>1048</v>
      </c>
      <c r="N934" s="19" t="s">
        <v>1050</v>
      </c>
      <c r="O934" s="19" t="s">
        <v>4193</v>
      </c>
    </row>
    <row r="935" customFormat="false" ht="22.35" hidden="false" customHeight="false" outlineLevel="0" collapsed="false">
      <c r="A935" s="19" t="s">
        <v>4458</v>
      </c>
      <c r="B935" s="19" t="s">
        <v>1054</v>
      </c>
      <c r="C935" s="19" t="str">
        <f aca="false">IFERROR(INDEX('Agent Roster'!$B:$B,MATCH(B935,'Agent Roster'!$A:$A,0)),"UNASSIGNED")</f>
        <v>Software Development Agent</v>
      </c>
      <c r="D935" s="19" t="str">
        <f aca="false">IFERROR(INDEX('Agent Roster'!$D:$D,MATCH(B935,'Agent Roster'!$A:$A,0)),"UNASSIGNED")</f>
        <v>7 · Technology Hub</v>
      </c>
      <c r="E935" s="19" t="s">
        <v>4459</v>
      </c>
      <c r="F935" s="19" t="s">
        <v>4460</v>
      </c>
      <c r="G935" s="19" t="s">
        <v>4192</v>
      </c>
      <c r="H935" s="19" t="s">
        <v>1057</v>
      </c>
      <c r="I935" s="19" t="s">
        <v>1064</v>
      </c>
      <c r="J935" s="19" t="s">
        <v>1068</v>
      </c>
      <c r="K935" s="19" t="s">
        <v>1058</v>
      </c>
      <c r="L935" s="19" t="s">
        <v>1059</v>
      </c>
      <c r="M935" s="19" t="s">
        <v>1060</v>
      </c>
      <c r="N935" s="19" t="s">
        <v>1062</v>
      </c>
      <c r="O935" s="19" t="s">
        <v>4193</v>
      </c>
    </row>
    <row r="936" customFormat="false" ht="15" hidden="false" customHeight="false" outlineLevel="0" collapsed="false">
      <c r="A936" s="19" t="s">
        <v>4461</v>
      </c>
      <c r="B936" s="19" t="s">
        <v>1025</v>
      </c>
      <c r="C936" s="19" t="str">
        <f aca="false">IFERROR(INDEX('Agent Roster'!$B:$B,MATCH(B936,'Agent Roster'!$A:$A,0)),"UNASSIGNED")</f>
        <v>Monitoring &amp; Observability Agent</v>
      </c>
      <c r="D936" s="19" t="str">
        <f aca="false">IFERROR(INDEX('Agent Roster'!$D:$D,MATCH(B936,'Agent Roster'!$A:$A,0)),"UNASSIGNED")</f>
        <v>7 · Technology Hub</v>
      </c>
      <c r="E936" s="19" t="s">
        <v>4462</v>
      </c>
      <c r="F936" s="19" t="s">
        <v>4463</v>
      </c>
      <c r="G936" s="19" t="s">
        <v>4192</v>
      </c>
      <c r="H936" s="19" t="s">
        <v>1067</v>
      </c>
      <c r="I936" s="19" t="s">
        <v>1073</v>
      </c>
      <c r="J936" s="19" t="s">
        <v>1068</v>
      </c>
      <c r="K936" s="19" t="s">
        <v>1068</v>
      </c>
      <c r="L936" s="19" t="s">
        <v>1069</v>
      </c>
      <c r="M936" s="19" t="s">
        <v>1070</v>
      </c>
      <c r="N936" s="19"/>
      <c r="O936" s="19" t="s">
        <v>4193</v>
      </c>
    </row>
    <row r="937" customFormat="false" ht="43.25" hidden="false" customHeight="false" outlineLevel="0" collapsed="false">
      <c r="A937" s="19" t="s">
        <v>4464</v>
      </c>
      <c r="B937" s="19" t="s">
        <v>1074</v>
      </c>
      <c r="C937" s="19" t="str">
        <f aca="false">IFERROR(INDEX('Agent Roster'!$B:$B,MATCH(B937,'Agent Roster'!$A:$A,0)),"UNASSIGNED")</f>
        <v>Client Success Hub Lead (ACE Expansion owner)</v>
      </c>
      <c r="D937" s="19" t="str">
        <f aca="false">IFERROR(INDEX('Agent Roster'!$D:$D,MATCH(B937,'Agent Roster'!$A:$A,0)),"UNASSIGNED")</f>
        <v>8 · Client Success Hub</v>
      </c>
      <c r="E937" s="19" t="s">
        <v>4465</v>
      </c>
      <c r="F937" s="19" t="s">
        <v>4466</v>
      </c>
      <c r="G937" s="19" t="s">
        <v>4192</v>
      </c>
      <c r="H937" s="19" t="s">
        <v>1079</v>
      </c>
      <c r="I937" s="19" t="s">
        <v>402</v>
      </c>
      <c r="J937" s="19" t="s">
        <v>1068</v>
      </c>
      <c r="K937" s="19" t="s">
        <v>395</v>
      </c>
      <c r="L937" s="19" t="s">
        <v>396</v>
      </c>
      <c r="M937" s="19" t="s">
        <v>397</v>
      </c>
      <c r="N937" s="19" t="s">
        <v>399</v>
      </c>
      <c r="O937" s="19" t="s">
        <v>4193</v>
      </c>
    </row>
    <row r="938" customFormat="false" ht="22.35" hidden="false" customHeight="false" outlineLevel="0" collapsed="false">
      <c r="A938" s="19" t="s">
        <v>4467</v>
      </c>
      <c r="B938" s="19" t="s">
        <v>1082</v>
      </c>
      <c r="C938" s="19" t="str">
        <f aca="false">IFERROR(INDEX('Agent Roster'!$B:$B,MATCH(B938,'Agent Roster'!$A:$A,0)),"UNASSIGNED")</f>
        <v>Pre-Immersion Prep Agent</v>
      </c>
      <c r="D938" s="19" t="str">
        <f aca="false">IFERROR(INDEX('Agent Roster'!$D:$D,MATCH(B938,'Agent Roster'!$A:$A,0)),"UNASSIGNED")</f>
        <v>8 · Client Success Hub</v>
      </c>
      <c r="E938" s="19" t="s">
        <v>4468</v>
      </c>
      <c r="F938" s="19" t="s">
        <v>4469</v>
      </c>
      <c r="G938" s="19" t="s">
        <v>4192</v>
      </c>
      <c r="H938" s="19" t="s">
        <v>1085</v>
      </c>
      <c r="I938" s="19" t="s">
        <v>1091</v>
      </c>
      <c r="J938" s="19" t="s">
        <v>1068</v>
      </c>
      <c r="K938" s="19" t="s">
        <v>1086</v>
      </c>
      <c r="L938" s="19" t="s">
        <v>1087</v>
      </c>
      <c r="M938" s="19" t="s">
        <v>1088</v>
      </c>
      <c r="N938" s="19"/>
      <c r="O938" s="19" t="s">
        <v>4193</v>
      </c>
    </row>
    <row r="939" customFormat="false" ht="32.8" hidden="false" customHeight="false" outlineLevel="0" collapsed="false">
      <c r="A939" s="19" t="s">
        <v>4470</v>
      </c>
      <c r="B939" s="19" t="s">
        <v>1088</v>
      </c>
      <c r="C939" s="19" t="str">
        <f aca="false">IFERROR(INDEX('Agent Roster'!$B:$B,MATCH(B939,'Agent Roster'!$A:$A,0)),"UNASSIGNED")</f>
        <v>Immersion Capture Agent</v>
      </c>
      <c r="D939" s="19" t="str">
        <f aca="false">IFERROR(INDEX('Agent Roster'!$D:$D,MATCH(B939,'Agent Roster'!$A:$A,0)),"UNASSIGNED")</f>
        <v>8 · Client Success Hub</v>
      </c>
      <c r="E939" s="19" t="s">
        <v>4471</v>
      </c>
      <c r="F939" s="19" t="s">
        <v>4472</v>
      </c>
      <c r="G939" s="19" t="s">
        <v>4192</v>
      </c>
      <c r="H939" s="19" t="s">
        <v>1094</v>
      </c>
      <c r="I939" s="19" t="s">
        <v>1101</v>
      </c>
      <c r="J939" s="19" t="s">
        <v>1068</v>
      </c>
      <c r="K939" s="19" t="s">
        <v>1095</v>
      </c>
      <c r="L939" s="19" t="s">
        <v>1096</v>
      </c>
      <c r="M939" s="19" t="s">
        <v>1097</v>
      </c>
      <c r="N939" s="19" t="s">
        <v>1099</v>
      </c>
      <c r="O939" s="19" t="s">
        <v>4193</v>
      </c>
    </row>
    <row r="940" customFormat="false" ht="32.8" hidden="false" customHeight="false" outlineLevel="0" collapsed="false">
      <c r="A940" s="19" t="s">
        <v>4473</v>
      </c>
      <c r="B940" s="19" t="s">
        <v>1097</v>
      </c>
      <c r="C940" s="19" t="str">
        <f aca="false">IFERROR(INDEX('Agent Roster'!$B:$B,MATCH(B940,'Agent Roster'!$A:$A,0)),"UNASSIGNED")</f>
        <v>Blueprint Agent</v>
      </c>
      <c r="D940" s="19" t="str">
        <f aca="false">IFERROR(INDEX('Agent Roster'!$D:$D,MATCH(B940,'Agent Roster'!$A:$A,0)),"UNASSIGNED")</f>
        <v>8 · Client Success Hub</v>
      </c>
      <c r="E940" s="19" t="s">
        <v>4474</v>
      </c>
      <c r="F940" s="19" t="s">
        <v>4475</v>
      </c>
      <c r="G940" s="19" t="s">
        <v>4192</v>
      </c>
      <c r="H940" s="19" t="s">
        <v>1104</v>
      </c>
      <c r="I940" s="19" t="s">
        <v>1111</v>
      </c>
      <c r="J940" s="19" t="s">
        <v>1068</v>
      </c>
      <c r="K940" s="19" t="s">
        <v>1105</v>
      </c>
      <c r="L940" s="19" t="s">
        <v>1106</v>
      </c>
      <c r="M940" s="19" t="s">
        <v>1107</v>
      </c>
      <c r="N940" s="19" t="s">
        <v>1109</v>
      </c>
      <c r="O940" s="19" t="s">
        <v>4193</v>
      </c>
    </row>
    <row r="941" customFormat="false" ht="22.35" hidden="false" customHeight="false" outlineLevel="0" collapsed="false">
      <c r="A941" s="19" t="s">
        <v>4476</v>
      </c>
      <c r="B941" s="19" t="s">
        <v>1112</v>
      </c>
      <c r="C941" s="19" t="str">
        <f aca="false">IFERROR(INDEX('Agent Roster'!$B:$B,MATCH(B941,'Agent Roster'!$A:$A,0)),"UNASSIGNED")</f>
        <v>Account Manager Agent</v>
      </c>
      <c r="D941" s="19" t="str">
        <f aca="false">IFERROR(INDEX('Agent Roster'!$D:$D,MATCH(B941,'Agent Roster'!$A:$A,0)),"UNASSIGNED")</f>
        <v>8 · Client Success Hub</v>
      </c>
      <c r="E941" s="19" t="s">
        <v>4477</v>
      </c>
      <c r="F941" s="19" t="s">
        <v>4478</v>
      </c>
      <c r="G941" s="19" t="s">
        <v>4192</v>
      </c>
      <c r="H941" s="19" t="s">
        <v>1115</v>
      </c>
      <c r="I941" s="19" t="s">
        <v>1122</v>
      </c>
      <c r="J941" s="19" t="s">
        <v>1068</v>
      </c>
      <c r="K941" s="19" t="s">
        <v>1116</v>
      </c>
      <c r="L941" s="19" t="s">
        <v>1117</v>
      </c>
      <c r="M941" s="19" t="s">
        <v>1118</v>
      </c>
      <c r="N941" s="19"/>
      <c r="O941" s="19" t="s">
        <v>4193</v>
      </c>
    </row>
    <row r="942" customFormat="false" ht="22.35" hidden="false" customHeight="false" outlineLevel="0" collapsed="false">
      <c r="A942" s="19" t="s">
        <v>4479</v>
      </c>
      <c r="B942" s="19" t="s">
        <v>1123</v>
      </c>
      <c r="C942" s="19" t="str">
        <f aca="false">IFERROR(INDEX('Agent Roster'!$B:$B,MATCH(B942,'Agent Roster'!$A:$A,0)),"UNASSIGNED")</f>
        <v>Customer Service &amp; Support Agent</v>
      </c>
      <c r="D942" s="19" t="str">
        <f aca="false">IFERROR(INDEX('Agent Roster'!$D:$D,MATCH(B942,'Agent Roster'!$A:$A,0)),"UNASSIGNED")</f>
        <v>8 · Client Success Hub</v>
      </c>
      <c r="E942" s="19" t="s">
        <v>4480</v>
      </c>
      <c r="F942" s="19" t="s">
        <v>4481</v>
      </c>
      <c r="G942" s="19" t="s">
        <v>4192</v>
      </c>
      <c r="H942" s="19" t="s">
        <v>1126</v>
      </c>
      <c r="I942" s="19" t="s">
        <v>1134</v>
      </c>
      <c r="J942" s="19" t="s">
        <v>1068</v>
      </c>
      <c r="K942" s="19" t="s">
        <v>1127</v>
      </c>
      <c r="L942" s="19" t="s">
        <v>1128</v>
      </c>
      <c r="M942" s="19" t="s">
        <v>1129</v>
      </c>
      <c r="N942" s="19" t="s">
        <v>1131</v>
      </c>
      <c r="O942" s="19" t="s">
        <v>4193</v>
      </c>
    </row>
    <row r="943" customFormat="false" ht="22.35" hidden="false" customHeight="false" outlineLevel="0" collapsed="false">
      <c r="A943" s="19" t="s">
        <v>4482</v>
      </c>
      <c r="B943" s="19" t="s">
        <v>1135</v>
      </c>
      <c r="C943" s="19" t="str">
        <f aca="false">IFERROR(INDEX('Agent Roster'!$B:$B,MATCH(B943,'Agent Roster'!$A:$A,0)),"UNASSIGNED")</f>
        <v>Client BEAS &amp; Results Reporter</v>
      </c>
      <c r="D943" s="19" t="str">
        <f aca="false">IFERROR(INDEX('Agent Roster'!$D:$D,MATCH(B943,'Agent Roster'!$A:$A,0)),"UNASSIGNED")</f>
        <v>8 · Client Success Hub</v>
      </c>
      <c r="E943" s="19" t="s">
        <v>4483</v>
      </c>
      <c r="F943" s="19" t="s">
        <v>4484</v>
      </c>
      <c r="G943" s="19" t="s">
        <v>4192</v>
      </c>
      <c r="H943" s="19" t="s">
        <v>1138</v>
      </c>
      <c r="I943" s="19" t="s">
        <v>1145</v>
      </c>
      <c r="J943" s="19" t="s">
        <v>1068</v>
      </c>
      <c r="K943" s="19" t="s">
        <v>1139</v>
      </c>
      <c r="L943" s="19" t="s">
        <v>1140</v>
      </c>
      <c r="M943" s="19" t="s">
        <v>1141</v>
      </c>
      <c r="N943" s="19"/>
      <c r="O943" s="19" t="s">
        <v>4193</v>
      </c>
    </row>
    <row r="944" customFormat="false" ht="22.35" hidden="false" customHeight="false" outlineLevel="0" collapsed="false">
      <c r="A944" s="19" t="s">
        <v>4485</v>
      </c>
      <c r="B944" s="19" t="s">
        <v>1146</v>
      </c>
      <c r="C944" s="19" t="str">
        <f aca="false">IFERROR(INDEX('Agent Roster'!$B:$B,MATCH(B944,'Agent Roster'!$A:$A,0)),"UNASSIGNED")</f>
        <v>NPS &amp; Client Feedback Agent</v>
      </c>
      <c r="D944" s="19" t="str">
        <f aca="false">IFERROR(INDEX('Agent Roster'!$D:$D,MATCH(B944,'Agent Roster'!$A:$A,0)),"UNASSIGNED")</f>
        <v>8 · Client Success Hub</v>
      </c>
      <c r="E944" s="19" t="s">
        <v>4486</v>
      </c>
      <c r="F944" s="19" t="s">
        <v>4487</v>
      </c>
      <c r="G944" s="19" t="s">
        <v>4192</v>
      </c>
      <c r="H944" s="19" t="s">
        <v>1149</v>
      </c>
      <c r="I944" s="19" t="s">
        <v>1156</v>
      </c>
      <c r="J944" s="19" t="s">
        <v>1068</v>
      </c>
      <c r="K944" s="19" t="s">
        <v>1150</v>
      </c>
      <c r="L944" s="19" t="s">
        <v>1151</v>
      </c>
      <c r="M944" s="19" t="s">
        <v>1152</v>
      </c>
      <c r="N944" s="19"/>
      <c r="O944" s="19" t="s">
        <v>4193</v>
      </c>
    </row>
    <row r="945" customFormat="false" ht="32.8" hidden="false" customHeight="false" outlineLevel="0" collapsed="false">
      <c r="A945" s="19" t="s">
        <v>4488</v>
      </c>
      <c r="B945" s="19" t="s">
        <v>1157</v>
      </c>
      <c r="C945" s="19" t="str">
        <f aca="false">IFERROR(INDEX('Agent Roster'!$B:$B,MATCH(B945,'Agent Roster'!$A:$A,0)),"UNASSIGNED")</f>
        <v>Churn Prevention Agent</v>
      </c>
      <c r="D945" s="19" t="str">
        <f aca="false">IFERROR(INDEX('Agent Roster'!$D:$D,MATCH(B945,'Agent Roster'!$A:$A,0)),"UNASSIGNED")</f>
        <v>8 · Client Success Hub</v>
      </c>
      <c r="E945" s="19" t="s">
        <v>4489</v>
      </c>
      <c r="F945" s="19" t="s">
        <v>4490</v>
      </c>
      <c r="G945" s="19" t="s">
        <v>4192</v>
      </c>
      <c r="H945" s="19" t="s">
        <v>1160</v>
      </c>
      <c r="I945" s="19" t="s">
        <v>1168</v>
      </c>
      <c r="J945" s="19" t="s">
        <v>1068</v>
      </c>
      <c r="K945" s="19" t="s">
        <v>1161</v>
      </c>
      <c r="L945" s="19" t="s">
        <v>1162</v>
      </c>
      <c r="M945" s="19" t="s">
        <v>1163</v>
      </c>
      <c r="N945" s="19" t="s">
        <v>1165</v>
      </c>
      <c r="O945" s="19" t="s">
        <v>4193</v>
      </c>
    </row>
    <row r="946" customFormat="false" ht="22.35" hidden="false" customHeight="false" outlineLevel="0" collapsed="false">
      <c r="A946" s="19" t="s">
        <v>4491</v>
      </c>
      <c r="B946" s="19" t="s">
        <v>1169</v>
      </c>
      <c r="C946" s="19" t="str">
        <f aca="false">IFERROR(INDEX('Agent Roster'!$B:$B,MATCH(B946,'Agent Roster'!$A:$A,0)),"UNASSIGNED")</f>
        <v>Expansion &amp; Referral Agent</v>
      </c>
      <c r="D946" s="19" t="str">
        <f aca="false">IFERROR(INDEX('Agent Roster'!$D:$D,MATCH(B946,'Agent Roster'!$A:$A,0)),"UNASSIGNED")</f>
        <v>8 · Client Success Hub</v>
      </c>
      <c r="E946" s="19" t="s">
        <v>4492</v>
      </c>
      <c r="F946" s="19" t="s">
        <v>4493</v>
      </c>
      <c r="G946" s="19" t="s">
        <v>4192</v>
      </c>
      <c r="H946" s="19" t="s">
        <v>1172</v>
      </c>
      <c r="I946" s="19" t="s">
        <v>1180</v>
      </c>
      <c r="J946" s="19" t="s">
        <v>1068</v>
      </c>
      <c r="K946" s="19" t="s">
        <v>1173</v>
      </c>
      <c r="L946" s="19" t="s">
        <v>1174</v>
      </c>
      <c r="M946" s="19" t="s">
        <v>1175</v>
      </c>
      <c r="N946" s="19" t="s">
        <v>1177</v>
      </c>
      <c r="O946" s="19" t="s">
        <v>4193</v>
      </c>
    </row>
    <row r="947" customFormat="false" ht="22.35" hidden="false" customHeight="false" outlineLevel="0" collapsed="false">
      <c r="A947" s="19" t="s">
        <v>4494</v>
      </c>
      <c r="B947" s="19" t="s">
        <v>1181</v>
      </c>
      <c r="C947" s="19" t="str">
        <f aca="false">IFERROR(INDEX('Agent Roster'!$B:$B,MATCH(B947,'Agent Roster'!$A:$A,0)),"UNASSIGNED")</f>
        <v>Quarterly Immersion Review Agent</v>
      </c>
      <c r="D947" s="19" t="str">
        <f aca="false">IFERROR(INDEX('Agent Roster'!$D:$D,MATCH(B947,'Agent Roster'!$A:$A,0)),"UNASSIGNED")</f>
        <v>8 · Client Success Hub</v>
      </c>
      <c r="E947" s="19" t="s">
        <v>4495</v>
      </c>
      <c r="F947" s="19" t="s">
        <v>4496</v>
      </c>
      <c r="G947" s="19" t="s">
        <v>4192</v>
      </c>
      <c r="H947" s="19" t="s">
        <v>1184</v>
      </c>
      <c r="I947" s="19" t="s">
        <v>1190</v>
      </c>
      <c r="J947" s="19" t="s">
        <v>1068</v>
      </c>
      <c r="K947" s="19" t="s">
        <v>1185</v>
      </c>
      <c r="L947" s="19" t="s">
        <v>1186</v>
      </c>
      <c r="M947" s="19" t="s">
        <v>1187</v>
      </c>
      <c r="N947" s="19"/>
      <c r="O947" s="19" t="s">
        <v>4193</v>
      </c>
    </row>
    <row r="948" customFormat="false" ht="22.35" hidden="false" customHeight="false" outlineLevel="0" collapsed="false">
      <c r="A948" s="19" t="s">
        <v>4497</v>
      </c>
      <c r="B948" s="19" t="s">
        <v>1191</v>
      </c>
      <c r="C948" s="19" t="str">
        <f aca="false">IFERROR(INDEX('Agent Roster'!$B:$B,MATCH(B948,'Agent Roster'!$A:$A,0)),"UNASSIGNED")</f>
        <v>Community &amp; Movement Agent</v>
      </c>
      <c r="D948" s="19" t="str">
        <f aca="false">IFERROR(INDEX('Agent Roster'!$D:$D,MATCH(B948,'Agent Roster'!$A:$A,0)),"UNASSIGNED")</f>
        <v>8 · Client Success Hub</v>
      </c>
      <c r="E948" s="19" t="s">
        <v>4498</v>
      </c>
      <c r="F948" s="19" t="s">
        <v>4499</v>
      </c>
      <c r="G948" s="19" t="s">
        <v>4192</v>
      </c>
      <c r="H948" s="19" t="s">
        <v>1194</v>
      </c>
      <c r="I948" s="19" t="s">
        <v>1201</v>
      </c>
      <c r="J948" s="19" t="s">
        <v>1068</v>
      </c>
      <c r="K948" s="19" t="s">
        <v>1195</v>
      </c>
      <c r="L948" s="19" t="s">
        <v>1196</v>
      </c>
      <c r="M948" s="19" t="s">
        <v>1197</v>
      </c>
      <c r="N948" s="19"/>
      <c r="O948" s="19" t="s">
        <v>4193</v>
      </c>
    </row>
    <row r="949" customFormat="false" ht="43.25" hidden="false" customHeight="false" outlineLevel="0" collapsed="false">
      <c r="A949" s="19" t="s">
        <v>4500</v>
      </c>
      <c r="B949" s="19" t="s">
        <v>1202</v>
      </c>
      <c r="C949" s="19" t="str">
        <f aca="false">IFERROR(INDEX('Agent Roster'!$B:$B,MATCH(B949,'Agent Roster'!$A:$A,0)),"UNASSIGNED")</f>
        <v>Content Hub Lead (Propagation owner)</v>
      </c>
      <c r="D949" s="19" t="str">
        <f aca="false">IFERROR(INDEX('Agent Roster'!$D:$D,MATCH(B949,'Agent Roster'!$A:$A,0)),"UNASSIGNED")</f>
        <v>9 · Content Hub</v>
      </c>
      <c r="E949" s="19" t="s">
        <v>4501</v>
      </c>
      <c r="F949" s="19" t="s">
        <v>4502</v>
      </c>
      <c r="G949" s="19" t="s">
        <v>4192</v>
      </c>
      <c r="H949" s="19" t="s">
        <v>1207</v>
      </c>
      <c r="I949" s="19" t="s">
        <v>402</v>
      </c>
      <c r="J949" s="19" t="s">
        <v>1068</v>
      </c>
      <c r="K949" s="19" t="s">
        <v>395</v>
      </c>
      <c r="L949" s="19" t="s">
        <v>396</v>
      </c>
      <c r="M949" s="19" t="s">
        <v>397</v>
      </c>
      <c r="N949" s="19" t="s">
        <v>399</v>
      </c>
      <c r="O949" s="19" t="s">
        <v>4193</v>
      </c>
    </row>
    <row r="950" customFormat="false" ht="22.35" hidden="false" customHeight="false" outlineLevel="0" collapsed="false">
      <c r="A950" s="19" t="s">
        <v>4503</v>
      </c>
      <c r="B950" s="19" t="s">
        <v>1210</v>
      </c>
      <c r="C950" s="19" t="str">
        <f aca="false">IFERROR(INDEX('Agent Roster'!$B:$B,MATCH(B950,'Agent Roster'!$A:$A,0)),"UNASSIGNED")</f>
        <v>IP Creation Agent</v>
      </c>
      <c r="D950" s="19" t="str">
        <f aca="false">IFERROR(INDEX('Agent Roster'!$D:$D,MATCH(B950,'Agent Roster'!$A:$A,0)),"UNASSIGNED")</f>
        <v>9 · Content Hub</v>
      </c>
      <c r="E950" s="19" t="s">
        <v>4504</v>
      </c>
      <c r="F950" s="19" t="s">
        <v>4505</v>
      </c>
      <c r="G950" s="19" t="s">
        <v>4192</v>
      </c>
      <c r="H950" s="19" t="s">
        <v>1213</v>
      </c>
      <c r="I950" s="19" t="s">
        <v>1221</v>
      </c>
      <c r="J950" s="19" t="s">
        <v>1068</v>
      </c>
      <c r="K950" s="19" t="s">
        <v>1214</v>
      </c>
      <c r="L950" s="19" t="s">
        <v>1215</v>
      </c>
      <c r="M950" s="19" t="s">
        <v>1216</v>
      </c>
      <c r="N950" s="19" t="s">
        <v>1218</v>
      </c>
      <c r="O950" s="19" t="s">
        <v>4193</v>
      </c>
    </row>
    <row r="951" customFormat="false" ht="22.35" hidden="false" customHeight="false" outlineLevel="0" collapsed="false">
      <c r="A951" s="19" t="s">
        <v>4506</v>
      </c>
      <c r="B951" s="19" t="s">
        <v>1222</v>
      </c>
      <c r="C951" s="19" t="str">
        <f aca="false">IFERROR(INDEX('Agent Roster'!$B:$B,MATCH(B951,'Agent Roster'!$A:$A,0)),"UNASSIGNED")</f>
        <v>Media Production Agent (Mode 2 Demonstration)</v>
      </c>
      <c r="D951" s="19" t="str">
        <f aca="false">IFERROR(INDEX('Agent Roster'!$D:$D,MATCH(B951,'Agent Roster'!$A:$A,0)),"UNASSIGNED")</f>
        <v>9 · Content Hub</v>
      </c>
      <c r="E951" s="19" t="s">
        <v>4507</v>
      </c>
      <c r="F951" s="19" t="s">
        <v>4508</v>
      </c>
      <c r="G951" s="19" t="s">
        <v>4192</v>
      </c>
      <c r="H951" s="19" t="s">
        <v>1225</v>
      </c>
      <c r="I951" s="19" t="s">
        <v>1232</v>
      </c>
      <c r="J951" s="19" t="s">
        <v>1068</v>
      </c>
      <c r="K951" s="19" t="s">
        <v>1226</v>
      </c>
      <c r="L951" s="19" t="s">
        <v>1227</v>
      </c>
      <c r="M951" s="19" t="s">
        <v>534</v>
      </c>
      <c r="N951" s="19" t="s">
        <v>1229</v>
      </c>
      <c r="O951" s="19" t="s">
        <v>4193</v>
      </c>
    </row>
    <row r="952" customFormat="false" ht="22.35" hidden="false" customHeight="false" outlineLevel="0" collapsed="false">
      <c r="A952" s="19" t="s">
        <v>4509</v>
      </c>
      <c r="B952" s="19" t="s">
        <v>1233</v>
      </c>
      <c r="C952" s="19" t="str">
        <f aca="false">IFERROR(INDEX('Agent Roster'!$B:$B,MATCH(B952,'Agent Roster'!$A:$A,0)),"UNASSIGNED")</f>
        <v>Methodology &amp; SOP Documentation Steward (Mode 3)</v>
      </c>
      <c r="D952" s="19" t="str">
        <f aca="false">IFERROR(INDEX('Agent Roster'!$D:$D,MATCH(B952,'Agent Roster'!$A:$A,0)),"UNASSIGNED")</f>
        <v>9 · Content Hub</v>
      </c>
      <c r="E952" s="19" t="s">
        <v>4510</v>
      </c>
      <c r="F952" s="19" t="s">
        <v>4511</v>
      </c>
      <c r="G952" s="19" t="s">
        <v>4192</v>
      </c>
      <c r="H952" s="19" t="s">
        <v>1236</v>
      </c>
      <c r="I952" s="19" t="s">
        <v>1243</v>
      </c>
      <c r="J952" s="19" t="s">
        <v>1068</v>
      </c>
      <c r="K952" s="19" t="s">
        <v>1237</v>
      </c>
      <c r="L952" s="19" t="s">
        <v>1238</v>
      </c>
      <c r="M952" s="19" t="s">
        <v>1239</v>
      </c>
      <c r="N952" s="19"/>
      <c r="O952" s="19" t="s">
        <v>4193</v>
      </c>
    </row>
    <row r="953" customFormat="false" ht="22.35" hidden="false" customHeight="false" outlineLevel="0" collapsed="false">
      <c r="A953" s="19" t="s">
        <v>4512</v>
      </c>
      <c r="B953" s="19" t="s">
        <v>1244</v>
      </c>
      <c r="C953" s="19" t="str">
        <f aca="false">IFERROR(INDEX('Agent Roster'!$B:$B,MATCH(B953,'Agent Roster'!$A:$A,0)),"UNASSIGNED")</f>
        <v>Brand Standards Agent</v>
      </c>
      <c r="D953" s="19" t="str">
        <f aca="false">IFERROR(INDEX('Agent Roster'!$D:$D,MATCH(B953,'Agent Roster'!$A:$A,0)),"UNASSIGNED")</f>
        <v>9 · Content Hub</v>
      </c>
      <c r="E953" s="19" t="s">
        <v>4513</v>
      </c>
      <c r="F953" s="19" t="s">
        <v>4514</v>
      </c>
      <c r="G953" s="19" t="s">
        <v>4192</v>
      </c>
      <c r="H953" s="19" t="s">
        <v>1247</v>
      </c>
      <c r="I953" s="19" t="s">
        <v>1255</v>
      </c>
      <c r="J953" s="19" t="s">
        <v>1068</v>
      </c>
      <c r="K953" s="19" t="s">
        <v>1248</v>
      </c>
      <c r="L953" s="19" t="s">
        <v>1249</v>
      </c>
      <c r="M953" s="19" t="s">
        <v>1250</v>
      </c>
      <c r="N953" s="19" t="s">
        <v>1252</v>
      </c>
      <c r="O953" s="19" t="s">
        <v>4193</v>
      </c>
    </row>
    <row r="954" customFormat="false" ht="22.35" hidden="false" customHeight="false" outlineLevel="0" collapsed="false">
      <c r="A954" s="19" t="s">
        <v>4515</v>
      </c>
      <c r="B954" s="19" t="s">
        <v>1256</v>
      </c>
      <c r="C954" s="19" t="str">
        <f aca="false">IFERROR(INDEX('Agent Roster'!$B:$B,MATCH(B954,'Agent Roster'!$A:$A,0)),"UNASSIGNED")</f>
        <v>GFunnel University Curriculum Agent</v>
      </c>
      <c r="D954" s="19" t="str">
        <f aca="false">IFERROR(INDEX('Agent Roster'!$D:$D,MATCH(B954,'Agent Roster'!$A:$A,0)),"UNASSIGNED")</f>
        <v>9 · Content Hub</v>
      </c>
      <c r="E954" s="19" t="s">
        <v>4516</v>
      </c>
      <c r="F954" s="19" t="s">
        <v>4517</v>
      </c>
      <c r="G954" s="19" t="s">
        <v>4192</v>
      </c>
      <c r="H954" s="19" t="s">
        <v>1259</v>
      </c>
      <c r="I954" s="19" t="s">
        <v>1266</v>
      </c>
      <c r="J954" s="19" t="s">
        <v>1068</v>
      </c>
      <c r="K954" s="19" t="s">
        <v>1260</v>
      </c>
      <c r="L954" s="19" t="s">
        <v>1261</v>
      </c>
      <c r="M954" s="19" t="s">
        <v>1262</v>
      </c>
      <c r="N954" s="19"/>
      <c r="O954" s="19" t="s">
        <v>4193</v>
      </c>
    </row>
    <row r="955" customFormat="false" ht="22.35" hidden="false" customHeight="false" outlineLevel="0" collapsed="false">
      <c r="A955" s="19" t="s">
        <v>4518</v>
      </c>
      <c r="B955" s="19" t="s">
        <v>1267</v>
      </c>
      <c r="C955" s="19" t="str">
        <f aca="false">IFERROR(INDEX('Agent Roster'!$B:$B,MATCH(B955,'Agent Roster'!$A:$A,0)),"UNASSIGNED")</f>
        <v>Writing Agent</v>
      </c>
      <c r="D955" s="19" t="str">
        <f aca="false">IFERROR(INDEX('Agent Roster'!$D:$D,MATCH(B955,'Agent Roster'!$A:$A,0)),"UNASSIGNED")</f>
        <v>9 · Content Hub</v>
      </c>
      <c r="E955" s="19" t="s">
        <v>4519</v>
      </c>
      <c r="F955" s="19" t="s">
        <v>4520</v>
      </c>
      <c r="G955" s="19" t="s">
        <v>4192</v>
      </c>
      <c r="H955" s="19" t="s">
        <v>1270</v>
      </c>
      <c r="I955" s="19" t="s">
        <v>1278</v>
      </c>
      <c r="J955" s="19" t="s">
        <v>1068</v>
      </c>
      <c r="K955" s="19" t="s">
        <v>1271</v>
      </c>
      <c r="L955" s="19" t="s">
        <v>1272</v>
      </c>
      <c r="M955" s="19" t="s">
        <v>1273</v>
      </c>
      <c r="N955" s="19" t="s">
        <v>1275</v>
      </c>
      <c r="O955" s="19" t="s">
        <v>4193</v>
      </c>
    </row>
    <row r="956" customFormat="false" ht="22.35" hidden="false" customHeight="false" outlineLevel="0" collapsed="false">
      <c r="A956" s="19" t="s">
        <v>4521</v>
      </c>
      <c r="B956" s="19" t="s">
        <v>1279</v>
      </c>
      <c r="C956" s="19" t="str">
        <f aca="false">IFERROR(INDEX('Agent Roster'!$B:$B,MATCH(B956,'Agent Roster'!$A:$A,0)),"UNASSIGNED")</f>
        <v>Case Study &amp; Proof Library Agent</v>
      </c>
      <c r="D956" s="19" t="str">
        <f aca="false">IFERROR(INDEX('Agent Roster'!$D:$D,MATCH(B956,'Agent Roster'!$A:$A,0)),"UNASSIGNED")</f>
        <v>9 · Content Hub</v>
      </c>
      <c r="E956" s="19" t="s">
        <v>4522</v>
      </c>
      <c r="F956" s="19" t="s">
        <v>4523</v>
      </c>
      <c r="G956" s="19" t="s">
        <v>4192</v>
      </c>
      <c r="H956" s="19" t="s">
        <v>1282</v>
      </c>
      <c r="I956" s="19" t="s">
        <v>1289</v>
      </c>
      <c r="J956" s="19" t="s">
        <v>1068</v>
      </c>
      <c r="K956" s="19" t="s">
        <v>1283</v>
      </c>
      <c r="L956" s="19" t="s">
        <v>1284</v>
      </c>
      <c r="M956" s="19" t="s">
        <v>1285</v>
      </c>
      <c r="N956" s="19"/>
      <c r="O956" s="19" t="s">
        <v>4193</v>
      </c>
    </row>
    <row r="957" customFormat="false" ht="22.35" hidden="false" customHeight="false" outlineLevel="0" collapsed="false">
      <c r="A957" s="19" t="s">
        <v>4524</v>
      </c>
      <c r="B957" s="19" t="s">
        <v>1290</v>
      </c>
      <c r="C957" s="19" t="str">
        <f aca="false">IFERROR(INDEX('Agent Roster'!$B:$B,MATCH(B957,'Agent Roster'!$A:$A,0)),"UNASSIGNED")</f>
        <v>Knowledge Base Librarian (Memory &amp; Recall)</v>
      </c>
      <c r="D957" s="19" t="str">
        <f aca="false">IFERROR(INDEX('Agent Roster'!$D:$D,MATCH(B957,'Agent Roster'!$A:$A,0)),"UNASSIGNED")</f>
        <v>9 · Content Hub</v>
      </c>
      <c r="E957" s="19" t="s">
        <v>4525</v>
      </c>
      <c r="F957" s="19" t="s">
        <v>4526</v>
      </c>
      <c r="G957" s="19" t="s">
        <v>4192</v>
      </c>
      <c r="H957" s="19" t="s">
        <v>1293</v>
      </c>
      <c r="I957" s="19" t="s">
        <v>1300</v>
      </c>
      <c r="J957" s="19" t="s">
        <v>1068</v>
      </c>
      <c r="K957" s="19" t="s">
        <v>1294</v>
      </c>
      <c r="L957" s="19" t="s">
        <v>1295</v>
      </c>
      <c r="M957" s="19" t="s">
        <v>1296</v>
      </c>
      <c r="N957" s="19"/>
      <c r="O957" s="19" t="s">
        <v>4193</v>
      </c>
    </row>
  </sheetData>
  <autoFilter ref="A1:O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12"/>
    <col collapsed="false" customWidth="true" hidden="false" outlineLevel="0" max="5" min="4" style="0" width="10"/>
    <col collapsed="false" customWidth="true" hidden="false" outlineLevel="0" max="6" min="6" style="0" width="18"/>
    <col collapsed="false" customWidth="true" hidden="false" outlineLevel="0" max="7" min="7" style="0" width="12"/>
    <col collapsed="false" customWidth="true" hidden="false" outlineLevel="0" max="8" min="8" style="0" width="30"/>
    <col collapsed="false" customWidth="true" hidden="false" outlineLevel="0" max="9" min="9" style="0" width="40"/>
    <col collapsed="false" customWidth="true" hidden="false" outlineLevel="0" max="10" min="10" style="0" width="26"/>
  </cols>
  <sheetData>
    <row r="1" customFormat="false" ht="35.05" hidden="false" customHeight="false" outlineLevel="0" collapsed="false">
      <c r="A1" s="6" t="s">
        <v>4527</v>
      </c>
      <c r="B1" s="6" t="s">
        <v>4528</v>
      </c>
      <c r="C1" s="6" t="s">
        <v>4529</v>
      </c>
      <c r="D1" s="6" t="s">
        <v>4530</v>
      </c>
      <c r="E1" s="6" t="s">
        <v>4531</v>
      </c>
      <c r="F1" s="6" t="s">
        <v>1307</v>
      </c>
      <c r="G1" s="6" t="s">
        <v>4532</v>
      </c>
      <c r="H1" s="6" t="s">
        <v>4533</v>
      </c>
      <c r="I1" s="6" t="s">
        <v>4534</v>
      </c>
      <c r="J1" s="6" t="s">
        <v>1308</v>
      </c>
    </row>
    <row r="2" customFormat="false" ht="15" hidden="false" customHeight="false" outlineLevel="0" collapsed="false">
      <c r="A2" s="19" t="s">
        <v>1316</v>
      </c>
      <c r="B2" s="19" t="s">
        <v>4535</v>
      </c>
      <c r="C2" s="19" t="n">
        <v>12</v>
      </c>
      <c r="D2" s="19" t="n">
        <f aca="false">COUNTIFS(Responsibilities!$H:$H,A2,Responsibilities!$G:$G,"Algorithm step")</f>
        <v>12</v>
      </c>
      <c r="E2" s="20" t="n">
        <f aca="false">C2-D2</f>
        <v>0</v>
      </c>
      <c r="F2" s="19" t="s">
        <v>4536</v>
      </c>
      <c r="G2" s="19" t="s">
        <v>153</v>
      </c>
      <c r="H2" s="19" t="s">
        <v>153</v>
      </c>
      <c r="I2" s="19" t="s">
        <v>4537</v>
      </c>
      <c r="J2" s="19" t="s">
        <v>1318</v>
      </c>
    </row>
    <row r="3" customFormat="false" ht="15" hidden="false" customHeight="false" outlineLevel="0" collapsed="false">
      <c r="A3" s="19" t="s">
        <v>1381</v>
      </c>
      <c r="B3" s="19" t="s">
        <v>4538</v>
      </c>
      <c r="C3" s="19" t="n">
        <v>6</v>
      </c>
      <c r="D3" s="19" t="n">
        <f aca="false">COUNTIFS(Responsibilities!$H:$H,A3,Responsibilities!$G:$G,"Algorithm step")</f>
        <v>6</v>
      </c>
      <c r="E3" s="20" t="n">
        <f aca="false">C3-D3</f>
        <v>0</v>
      </c>
      <c r="F3" s="19" t="s">
        <v>163</v>
      </c>
      <c r="G3" s="19" t="s">
        <v>149</v>
      </c>
      <c r="H3" s="19" t="s">
        <v>149</v>
      </c>
      <c r="I3" s="19" t="s">
        <v>4537</v>
      </c>
      <c r="J3" s="19" t="s">
        <v>1383</v>
      </c>
    </row>
    <row r="4" customFormat="false" ht="15" hidden="false" customHeight="false" outlineLevel="0" collapsed="false">
      <c r="A4" s="19" t="s">
        <v>1402</v>
      </c>
      <c r="B4" s="19" t="s">
        <v>4538</v>
      </c>
      <c r="C4" s="19" t="n">
        <v>7</v>
      </c>
      <c r="D4" s="19" t="n">
        <f aca="false">COUNTIFS(Responsibilities!$H:$H,A4,Responsibilities!$G:$G,"Algorithm step")</f>
        <v>7</v>
      </c>
      <c r="E4" s="20" t="n">
        <f aca="false">C4-D4</f>
        <v>0</v>
      </c>
      <c r="F4" s="19" t="s">
        <v>4539</v>
      </c>
      <c r="G4" s="19" t="s">
        <v>199</v>
      </c>
      <c r="H4" s="19" t="s">
        <v>199</v>
      </c>
      <c r="I4" s="19" t="s">
        <v>4537</v>
      </c>
      <c r="J4" s="19" t="s">
        <v>1404</v>
      </c>
    </row>
    <row r="5" customFormat="false" ht="15" hidden="false" customHeight="false" outlineLevel="0" collapsed="false">
      <c r="A5" s="19" t="s">
        <v>1426</v>
      </c>
      <c r="B5" s="19" t="s">
        <v>4538</v>
      </c>
      <c r="C5" s="19" t="n">
        <v>7</v>
      </c>
      <c r="D5" s="19" t="n">
        <f aca="false">COUNTIFS(Responsibilities!$H:$H,A5,Responsibilities!$G:$G,"Algorithm step")</f>
        <v>7</v>
      </c>
      <c r="E5" s="20" t="n">
        <f aca="false">C5-D5</f>
        <v>0</v>
      </c>
      <c r="F5" s="19" t="s">
        <v>4540</v>
      </c>
      <c r="G5" s="19" t="s">
        <v>261</v>
      </c>
      <c r="H5" s="19" t="s">
        <v>261</v>
      </c>
      <c r="I5" s="19" t="s">
        <v>4537</v>
      </c>
      <c r="J5" s="19" t="s">
        <v>1428</v>
      </c>
    </row>
    <row r="6" customFormat="false" ht="15" hidden="false" customHeight="false" outlineLevel="0" collapsed="false">
      <c r="A6" s="19" t="s">
        <v>1450</v>
      </c>
      <c r="B6" s="19" t="s">
        <v>4538</v>
      </c>
      <c r="C6" s="19" t="n">
        <v>7</v>
      </c>
      <c r="D6" s="19" t="n">
        <f aca="false">COUNTIFS(Responsibilities!$H:$H,A6,Responsibilities!$G:$G,"Algorithm step")</f>
        <v>7</v>
      </c>
      <c r="E6" s="20" t="n">
        <f aca="false">C6-D6</f>
        <v>0</v>
      </c>
      <c r="F6" s="19" t="s">
        <v>4541</v>
      </c>
      <c r="G6" s="19" t="s">
        <v>272</v>
      </c>
      <c r="H6" s="19" t="s">
        <v>272</v>
      </c>
      <c r="I6" s="19" t="s">
        <v>4537</v>
      </c>
      <c r="J6" s="19" t="s">
        <v>1452</v>
      </c>
    </row>
    <row r="7" customFormat="false" ht="15" hidden="false" customHeight="false" outlineLevel="0" collapsed="false">
      <c r="A7" s="19" t="s">
        <v>1474</v>
      </c>
      <c r="B7" s="19" t="s">
        <v>4538</v>
      </c>
      <c r="C7" s="19" t="n">
        <v>8</v>
      </c>
      <c r="D7" s="19" t="n">
        <f aca="false">COUNTIFS(Responsibilities!$H:$H,A7,Responsibilities!$G:$G,"Algorithm step")</f>
        <v>8</v>
      </c>
      <c r="E7" s="20" t="n">
        <f aca="false">C7-D7</f>
        <v>0</v>
      </c>
      <c r="F7" s="19" t="s">
        <v>4542</v>
      </c>
      <c r="G7" s="19" t="s">
        <v>220</v>
      </c>
      <c r="H7" s="19" t="s">
        <v>220</v>
      </c>
      <c r="I7" s="19" t="s">
        <v>4537</v>
      </c>
      <c r="J7" s="19" t="s">
        <v>1476</v>
      </c>
    </row>
    <row r="8" customFormat="false" ht="15" hidden="false" customHeight="false" outlineLevel="0" collapsed="false">
      <c r="A8" s="19" t="s">
        <v>1501</v>
      </c>
      <c r="B8" s="19" t="s">
        <v>4538</v>
      </c>
      <c r="C8" s="19" t="n">
        <v>8</v>
      </c>
      <c r="D8" s="19" t="n">
        <f aca="false">COUNTIFS(Responsibilities!$H:$H,A8,Responsibilities!$G:$G,"Algorithm step")</f>
        <v>8</v>
      </c>
      <c r="E8" s="20" t="n">
        <f aca="false">C8-D8</f>
        <v>0</v>
      </c>
      <c r="F8" s="19" t="s">
        <v>4543</v>
      </c>
      <c r="G8" s="19" t="s">
        <v>230</v>
      </c>
      <c r="H8" s="19" t="s">
        <v>230</v>
      </c>
      <c r="I8" s="19" t="s">
        <v>4537</v>
      </c>
      <c r="J8" s="19" t="s">
        <v>1503</v>
      </c>
    </row>
    <row r="9" customFormat="false" ht="15" hidden="false" customHeight="false" outlineLevel="0" collapsed="false">
      <c r="A9" s="19" t="s">
        <v>1528</v>
      </c>
      <c r="B9" s="19" t="s">
        <v>4538</v>
      </c>
      <c r="C9" s="19" t="n">
        <v>7</v>
      </c>
      <c r="D9" s="19" t="n">
        <f aca="false">COUNTIFS(Responsibilities!$H:$H,A9,Responsibilities!$G:$G,"Algorithm step")</f>
        <v>7</v>
      </c>
      <c r="E9" s="20" t="n">
        <f aca="false">C9-D9</f>
        <v>0</v>
      </c>
      <c r="F9" s="19" t="s">
        <v>4544</v>
      </c>
      <c r="G9" s="19" t="s">
        <v>240</v>
      </c>
      <c r="H9" s="19" t="s">
        <v>240</v>
      </c>
      <c r="I9" s="19" t="s">
        <v>4537</v>
      </c>
      <c r="J9" s="19" t="s">
        <v>1530</v>
      </c>
    </row>
    <row r="10" customFormat="false" ht="15" hidden="false" customHeight="false" outlineLevel="0" collapsed="false">
      <c r="A10" s="19" t="s">
        <v>1552</v>
      </c>
      <c r="B10" s="19" t="s">
        <v>4538</v>
      </c>
      <c r="C10" s="19" t="n">
        <v>7</v>
      </c>
      <c r="D10" s="19" t="n">
        <f aca="false">COUNTIFS(Responsibilities!$H:$H,A10,Responsibilities!$G:$G,"Algorithm step")</f>
        <v>7</v>
      </c>
      <c r="E10" s="20" t="n">
        <f aca="false">C10-D10</f>
        <v>0</v>
      </c>
      <c r="F10" s="19" t="s">
        <v>4545</v>
      </c>
      <c r="G10" s="19" t="s">
        <v>251</v>
      </c>
      <c r="H10" s="19" t="s">
        <v>251</v>
      </c>
      <c r="I10" s="19" t="s">
        <v>4537</v>
      </c>
      <c r="J10" s="19" t="s">
        <v>1554</v>
      </c>
    </row>
    <row r="11" customFormat="false" ht="15" hidden="false" customHeight="false" outlineLevel="0" collapsed="false">
      <c r="A11" s="19" t="s">
        <v>1576</v>
      </c>
      <c r="B11" s="19" t="s">
        <v>4538</v>
      </c>
      <c r="C11" s="19" t="n">
        <v>9</v>
      </c>
      <c r="D11" s="19" t="n">
        <f aca="false">COUNTIFS(Responsibilities!$H:$H,A11,Responsibilities!$G:$G,"Algorithm step")</f>
        <v>9</v>
      </c>
      <c r="E11" s="20" t="n">
        <f aca="false">C11-D11</f>
        <v>0</v>
      </c>
      <c r="F11" s="19" t="s">
        <v>4546</v>
      </c>
      <c r="G11" s="19" t="s">
        <v>210</v>
      </c>
      <c r="H11" s="19" t="s">
        <v>210</v>
      </c>
      <c r="I11" s="19" t="s">
        <v>4537</v>
      </c>
      <c r="J11" s="19" t="s">
        <v>1578</v>
      </c>
    </row>
    <row r="12" customFormat="false" ht="15" hidden="false" customHeight="false" outlineLevel="0" collapsed="false">
      <c r="A12" s="19" t="s">
        <v>1606</v>
      </c>
      <c r="B12" s="19" t="s">
        <v>4538</v>
      </c>
      <c r="C12" s="19" t="n">
        <v>7</v>
      </c>
      <c r="D12" s="19" t="n">
        <f aca="false">COUNTIFS(Responsibilities!$H:$H,A12,Responsibilities!$G:$G,"Algorithm step")</f>
        <v>7</v>
      </c>
      <c r="E12" s="20" t="n">
        <f aca="false">C12-D12</f>
        <v>0</v>
      </c>
      <c r="F12" s="19" t="s">
        <v>4547</v>
      </c>
      <c r="G12" s="19" t="s">
        <v>282</v>
      </c>
      <c r="H12" s="19" t="s">
        <v>282</v>
      </c>
      <c r="I12" s="19" t="s">
        <v>4537</v>
      </c>
      <c r="J12" s="19" t="s">
        <v>1608</v>
      </c>
    </row>
    <row r="13" customFormat="false" ht="15" hidden="false" customHeight="false" outlineLevel="0" collapsed="false">
      <c r="A13" s="19" t="s">
        <v>1630</v>
      </c>
      <c r="B13" s="19" t="s">
        <v>4538</v>
      </c>
      <c r="C13" s="19" t="n">
        <v>7</v>
      </c>
      <c r="D13" s="19" t="n">
        <f aca="false">COUNTIFS(Responsibilities!$H:$H,A13,Responsibilities!$G:$G,"Algorithm step")</f>
        <v>7</v>
      </c>
      <c r="E13" s="20" t="n">
        <f aca="false">C13-D13</f>
        <v>0</v>
      </c>
      <c r="F13" s="19" t="s">
        <v>4548</v>
      </c>
      <c r="G13" s="19" t="s">
        <v>292</v>
      </c>
      <c r="H13" s="19" t="s">
        <v>292</v>
      </c>
      <c r="I13" s="19" t="s">
        <v>4537</v>
      </c>
      <c r="J13" s="19" t="s">
        <v>1632</v>
      </c>
    </row>
    <row r="14" customFormat="false" ht="15" hidden="false" customHeight="false" outlineLevel="0" collapsed="false">
      <c r="A14" s="19" t="s">
        <v>1654</v>
      </c>
      <c r="B14" s="19" t="s">
        <v>4538</v>
      </c>
      <c r="C14" s="19" t="n">
        <v>7</v>
      </c>
      <c r="D14" s="19" t="n">
        <f aca="false">COUNTIFS(Responsibilities!$H:$H,A14,Responsibilities!$G:$G,"Algorithm step")</f>
        <v>7</v>
      </c>
      <c r="E14" s="20" t="n">
        <f aca="false">C14-D14</f>
        <v>0</v>
      </c>
      <c r="F14" s="19" t="s">
        <v>4549</v>
      </c>
      <c r="G14" s="19" t="s">
        <v>403</v>
      </c>
      <c r="H14" s="19" t="s">
        <v>4550</v>
      </c>
      <c r="I14" s="19" t="s">
        <v>4551</v>
      </c>
      <c r="J14" s="19" t="s">
        <v>1656</v>
      </c>
    </row>
    <row r="15" customFormat="false" ht="22.35" hidden="false" customHeight="false" outlineLevel="0" collapsed="false">
      <c r="A15" s="19" t="s">
        <v>1679</v>
      </c>
      <c r="B15" s="19" t="s">
        <v>4538</v>
      </c>
      <c r="C15" s="19" t="n">
        <v>7</v>
      </c>
      <c r="D15" s="19" t="n">
        <f aca="false">COUNTIFS(Responsibilities!$H:$H,A15,Responsibilities!$G:$G,"Algorithm step")</f>
        <v>7</v>
      </c>
      <c r="E15" s="20" t="n">
        <f aca="false">C15-D15</f>
        <v>0</v>
      </c>
      <c r="F15" s="19" t="s">
        <v>4552</v>
      </c>
      <c r="G15" s="19" t="s">
        <v>187</v>
      </c>
      <c r="H15" s="19" t="s">
        <v>4553</v>
      </c>
      <c r="I15" s="19" t="s">
        <v>4537</v>
      </c>
      <c r="J15" s="19" t="s">
        <v>1139</v>
      </c>
    </row>
    <row r="16" customFormat="false" ht="15" hidden="false" customHeight="false" outlineLevel="0" collapsed="false">
      <c r="A16" s="19" t="s">
        <v>1702</v>
      </c>
      <c r="B16" s="19" t="s">
        <v>4538</v>
      </c>
      <c r="C16" s="19" t="n">
        <v>7</v>
      </c>
      <c r="D16" s="19" t="n">
        <f aca="false">COUNTIFS(Responsibilities!$H:$H,A16,Responsibilities!$G:$G,"Algorithm step")</f>
        <v>7</v>
      </c>
      <c r="E16" s="20" t="n">
        <f aca="false">C16-D16</f>
        <v>0</v>
      </c>
      <c r="F16" s="19" t="s">
        <v>4554</v>
      </c>
      <c r="G16" s="19" t="s">
        <v>174</v>
      </c>
      <c r="H16" s="19" t="s">
        <v>4555</v>
      </c>
      <c r="I16" s="19" t="s">
        <v>4537</v>
      </c>
      <c r="J16" s="19" t="s">
        <v>1704</v>
      </c>
    </row>
    <row r="17" customFormat="false" ht="53.7" hidden="false" customHeight="false" outlineLevel="0" collapsed="false">
      <c r="A17" s="19" t="s">
        <v>1726</v>
      </c>
      <c r="B17" s="19" t="s">
        <v>4538</v>
      </c>
      <c r="C17" s="19" t="n">
        <v>7</v>
      </c>
      <c r="D17" s="19" t="n">
        <f aca="false">COUNTIFS(Responsibilities!$H:$H,A17,Responsibilities!$G:$G,"Algorithm step")</f>
        <v>7</v>
      </c>
      <c r="E17" s="20" t="n">
        <f aca="false">C17-D17</f>
        <v>0</v>
      </c>
      <c r="F17" s="19" t="s">
        <v>4556</v>
      </c>
      <c r="G17" s="19" t="s">
        <v>4557</v>
      </c>
      <c r="H17" s="19" t="s">
        <v>4557</v>
      </c>
      <c r="I17" s="19" t="s">
        <v>4537</v>
      </c>
      <c r="J17" s="19" t="s">
        <v>1068</v>
      </c>
    </row>
    <row r="18" customFormat="false" ht="15" hidden="false" customHeight="false" outlineLevel="0" collapsed="false">
      <c r="A18" s="19" t="s">
        <v>1748</v>
      </c>
      <c r="B18" s="19" t="s">
        <v>4538</v>
      </c>
      <c r="C18" s="19" t="n">
        <v>7</v>
      </c>
      <c r="D18" s="19" t="n">
        <f aca="false">COUNTIFS(Responsibilities!$H:$H,A18,Responsibilities!$G:$G,"Algorithm step")</f>
        <v>7</v>
      </c>
      <c r="E18" s="20" t="n">
        <f aca="false">C18-D18</f>
        <v>0</v>
      </c>
      <c r="F18" s="19" t="s">
        <v>4558</v>
      </c>
      <c r="G18" s="19" t="s">
        <v>79</v>
      </c>
      <c r="H18" s="19" t="s">
        <v>79</v>
      </c>
      <c r="I18" s="19" t="s">
        <v>4537</v>
      </c>
      <c r="J18" s="19" t="s">
        <v>1750</v>
      </c>
    </row>
    <row r="19" customFormat="false" ht="15" hidden="false" customHeight="false" outlineLevel="0" collapsed="false">
      <c r="A19" s="19" t="s">
        <v>1772</v>
      </c>
      <c r="B19" s="19" t="s">
        <v>4559</v>
      </c>
      <c r="C19" s="19" t="n">
        <v>9</v>
      </c>
      <c r="D19" s="19" t="n">
        <f aca="false">COUNTIFS(Responsibilities!$H:$H,A19,Responsibilities!$G:$G,"Algorithm step")</f>
        <v>9</v>
      </c>
      <c r="E19" s="20" t="n">
        <f aca="false">C19-D19</f>
        <v>0</v>
      </c>
      <c r="F19" s="19" t="s">
        <v>4560</v>
      </c>
      <c r="G19" s="19" t="s">
        <v>663</v>
      </c>
      <c r="H19" s="19" t="s">
        <v>663</v>
      </c>
      <c r="I19" s="19" t="s">
        <v>4537</v>
      </c>
      <c r="J19" s="19" t="s">
        <v>1774</v>
      </c>
    </row>
    <row r="20" customFormat="false" ht="15" hidden="false" customHeight="false" outlineLevel="0" collapsed="false">
      <c r="A20" s="19" t="s">
        <v>1057</v>
      </c>
      <c r="B20" s="19" t="s">
        <v>4559</v>
      </c>
      <c r="C20" s="19" t="n">
        <v>11</v>
      </c>
      <c r="D20" s="19" t="n">
        <f aca="false">COUNTIFS(Responsibilities!$H:$H,A20,Responsibilities!$G:$G,"Algorithm step")</f>
        <v>11</v>
      </c>
      <c r="E20" s="20" t="n">
        <f aca="false">C20-D20</f>
        <v>0</v>
      </c>
      <c r="F20" s="19" t="s">
        <v>1064</v>
      </c>
      <c r="G20" s="19" t="s">
        <v>1054</v>
      </c>
      <c r="H20" s="19" t="s">
        <v>1054</v>
      </c>
      <c r="I20" s="19" t="s">
        <v>4537</v>
      </c>
      <c r="J20" s="19" t="s">
        <v>1803</v>
      </c>
    </row>
    <row r="21" customFormat="false" ht="64.15" hidden="false" customHeight="false" outlineLevel="0" collapsed="false">
      <c r="A21" s="19" t="s">
        <v>1837</v>
      </c>
      <c r="B21" s="19" t="s">
        <v>4559</v>
      </c>
      <c r="C21" s="19" t="n">
        <v>12</v>
      </c>
      <c r="D21" s="19" t="n">
        <f aca="false">COUNTIFS(Responsibilities!$H:$H,A21,Responsibilities!$G:$G,"Algorithm step")</f>
        <v>12</v>
      </c>
      <c r="E21" s="20" t="n">
        <f aca="false">C21-D21</f>
        <v>0</v>
      </c>
      <c r="F21" s="19" t="s">
        <v>4561</v>
      </c>
      <c r="G21" s="19" t="s">
        <v>4562</v>
      </c>
      <c r="H21" s="19" t="s">
        <v>4562</v>
      </c>
      <c r="I21" s="19" t="s">
        <v>4537</v>
      </c>
      <c r="J21" s="19" t="s">
        <v>1839</v>
      </c>
    </row>
    <row r="22" customFormat="false" ht="15" hidden="false" customHeight="false" outlineLevel="0" collapsed="false">
      <c r="A22" s="19" t="s">
        <v>1875</v>
      </c>
      <c r="B22" s="19" t="s">
        <v>4559</v>
      </c>
      <c r="C22" s="19" t="n">
        <v>10</v>
      </c>
      <c r="D22" s="19" t="n">
        <f aca="false">COUNTIFS(Responsibilities!$H:$H,A22,Responsibilities!$G:$G,"Algorithm step")</f>
        <v>10</v>
      </c>
      <c r="E22" s="20" t="n">
        <f aca="false">C22-D22</f>
        <v>0</v>
      </c>
      <c r="F22" s="19" t="s">
        <v>870</v>
      </c>
      <c r="G22" s="19" t="s">
        <v>859</v>
      </c>
      <c r="H22" s="19" t="s">
        <v>4563</v>
      </c>
      <c r="I22" s="19" t="s">
        <v>4564</v>
      </c>
      <c r="J22" s="19" t="s">
        <v>1877</v>
      </c>
    </row>
    <row r="23" customFormat="false" ht="43.25" hidden="false" customHeight="false" outlineLevel="0" collapsed="false">
      <c r="A23" s="19" t="s">
        <v>1906</v>
      </c>
      <c r="B23" s="19" t="s">
        <v>4559</v>
      </c>
      <c r="C23" s="19" t="n">
        <v>10</v>
      </c>
      <c r="D23" s="19" t="n">
        <f aca="false">COUNTIFS(Responsibilities!$H:$H,A23,Responsibilities!$G:$G,"Algorithm step")</f>
        <v>10</v>
      </c>
      <c r="E23" s="20" t="n">
        <f aca="false">C23-D23</f>
        <v>0</v>
      </c>
      <c r="F23" s="19" t="s">
        <v>4565</v>
      </c>
      <c r="G23" s="19" t="s">
        <v>4566</v>
      </c>
      <c r="H23" s="19" t="s">
        <v>4566</v>
      </c>
      <c r="I23" s="19" t="s">
        <v>4537</v>
      </c>
      <c r="J23" s="19" t="s">
        <v>1908</v>
      </c>
    </row>
    <row r="24" customFormat="false" ht="15" hidden="false" customHeight="false" outlineLevel="0" collapsed="false">
      <c r="A24" s="19" t="s">
        <v>317</v>
      </c>
      <c r="B24" s="19" t="s">
        <v>4559</v>
      </c>
      <c r="C24" s="19" t="n">
        <v>10</v>
      </c>
      <c r="D24" s="19" t="n">
        <f aca="false">COUNTIFS(Responsibilities!$H:$H,A24,Responsibilities!$G:$G,"Algorithm step")</f>
        <v>10</v>
      </c>
      <c r="E24" s="20" t="n">
        <f aca="false">C24-D24</f>
        <v>0</v>
      </c>
      <c r="F24" s="19" t="s">
        <v>324</v>
      </c>
      <c r="G24" s="19" t="s">
        <v>314</v>
      </c>
      <c r="H24" s="19" t="s">
        <v>4567</v>
      </c>
      <c r="I24" s="19" t="s">
        <v>4568</v>
      </c>
      <c r="J24" s="19" t="s">
        <v>1940</v>
      </c>
    </row>
    <row r="25" customFormat="false" ht="15" hidden="false" customHeight="false" outlineLevel="0" collapsed="false">
      <c r="A25" s="19" t="s">
        <v>944</v>
      </c>
      <c r="B25" s="19" t="s">
        <v>4559</v>
      </c>
      <c r="C25" s="19" t="n">
        <v>9</v>
      </c>
      <c r="D25" s="19" t="n">
        <f aca="false">COUNTIFS(Responsibilities!$H:$H,A25,Responsibilities!$G:$G,"Algorithm step")</f>
        <v>9</v>
      </c>
      <c r="E25" s="20" t="n">
        <f aca="false">C25-D25</f>
        <v>0</v>
      </c>
      <c r="F25" s="19" t="s">
        <v>4569</v>
      </c>
      <c r="G25" s="19" t="s">
        <v>941</v>
      </c>
      <c r="H25" s="19" t="s">
        <v>941</v>
      </c>
      <c r="I25" s="19" t="s">
        <v>4537</v>
      </c>
      <c r="J25" s="19" t="s">
        <v>1972</v>
      </c>
    </row>
    <row r="26" customFormat="false" ht="15" hidden="false" customHeight="false" outlineLevel="0" collapsed="false">
      <c r="A26" s="19" t="s">
        <v>431</v>
      </c>
      <c r="B26" s="19" t="s">
        <v>4559</v>
      </c>
      <c r="C26" s="19" t="n">
        <v>10</v>
      </c>
      <c r="D26" s="19" t="n">
        <f aca="false">COUNTIFS(Responsibilities!$H:$H,A26,Responsibilities!$G:$G,"Algorithm step")</f>
        <v>10</v>
      </c>
      <c r="E26" s="20" t="n">
        <f aca="false">C26-D26</f>
        <v>0</v>
      </c>
      <c r="F26" s="19" t="s">
        <v>439</v>
      </c>
      <c r="G26" s="19" t="s">
        <v>428</v>
      </c>
      <c r="H26" s="19" t="s">
        <v>428</v>
      </c>
      <c r="I26" s="19" t="s">
        <v>4537</v>
      </c>
      <c r="J26" s="19" t="s">
        <v>2001</v>
      </c>
    </row>
    <row r="27" customFormat="false" ht="15" hidden="false" customHeight="false" outlineLevel="0" collapsed="false">
      <c r="A27" s="19" t="s">
        <v>2032</v>
      </c>
      <c r="B27" s="19" t="s">
        <v>4570</v>
      </c>
      <c r="C27" s="19" t="n">
        <v>8</v>
      </c>
      <c r="D27" s="19" t="n">
        <f aca="false">COUNTIFS(Responsibilities!$H:$H,A27,Responsibilities!$G:$G,"Algorithm step")</f>
        <v>8</v>
      </c>
      <c r="E27" s="20" t="n">
        <f aca="false">C27-D27</f>
        <v>0</v>
      </c>
      <c r="F27" s="19" t="s">
        <v>4571</v>
      </c>
      <c r="G27" s="19" t="s">
        <v>137</v>
      </c>
      <c r="H27" s="19" t="s">
        <v>137</v>
      </c>
      <c r="I27" s="19" t="s">
        <v>4572</v>
      </c>
      <c r="J27" s="19" t="s">
        <v>690</v>
      </c>
    </row>
    <row r="28" customFormat="false" ht="15" hidden="false" customHeight="false" outlineLevel="0" collapsed="false">
      <c r="A28" s="19" t="s">
        <v>2058</v>
      </c>
      <c r="B28" s="19" t="s">
        <v>4573</v>
      </c>
      <c r="C28" s="19" t="n">
        <v>9</v>
      </c>
      <c r="D28" s="19" t="n">
        <f aca="false">COUNTIFS(Responsibilities!$H:$H,A28,Responsibilities!$G:$G,"Algorithm step")</f>
        <v>9</v>
      </c>
      <c r="E28" s="20" t="n">
        <f aca="false">C28-D28</f>
        <v>0</v>
      </c>
      <c r="F28" s="19" t="s">
        <v>4574</v>
      </c>
      <c r="G28" s="19" t="s">
        <v>47</v>
      </c>
      <c r="H28" s="19" t="s">
        <v>47</v>
      </c>
      <c r="I28" s="19" t="s">
        <v>2060</v>
      </c>
      <c r="J28" s="19" t="s">
        <v>51</v>
      </c>
    </row>
    <row r="29" customFormat="false" ht="15" hidden="false" customHeight="false" outlineLevel="0" collapsed="false">
      <c r="A29" s="19" t="s">
        <v>2088</v>
      </c>
      <c r="B29" s="19" t="s">
        <v>4573</v>
      </c>
      <c r="C29" s="19" t="n">
        <v>9</v>
      </c>
      <c r="D29" s="19" t="n">
        <f aca="false">COUNTIFS(Responsibilities!$H:$H,A29,Responsibilities!$G:$G,"Algorithm step")</f>
        <v>9</v>
      </c>
      <c r="E29" s="20" t="n">
        <f aca="false">C29-D29</f>
        <v>0</v>
      </c>
      <c r="F29" s="19" t="s">
        <v>4575</v>
      </c>
      <c r="G29" s="19" t="s">
        <v>47</v>
      </c>
      <c r="H29" s="19" t="s">
        <v>47</v>
      </c>
      <c r="I29" s="19" t="s">
        <v>2060</v>
      </c>
      <c r="J29" s="19" t="s">
        <v>51</v>
      </c>
    </row>
    <row r="30" customFormat="false" ht="22.35" hidden="false" customHeight="false" outlineLevel="0" collapsed="false">
      <c r="A30" s="19" t="s">
        <v>776</v>
      </c>
      <c r="B30" s="19" t="s">
        <v>4576</v>
      </c>
      <c r="C30" s="19" t="n">
        <v>10</v>
      </c>
      <c r="D30" s="19" t="n">
        <f aca="false">COUNTIFS(Responsibilities!$H:$H,A30,Responsibilities!$G:$G,"Algorithm step")</f>
        <v>10</v>
      </c>
      <c r="E30" s="20" t="n">
        <f aca="false">C30-D30</f>
        <v>0</v>
      </c>
      <c r="F30" s="19" t="s">
        <v>784</v>
      </c>
      <c r="G30" s="19" t="s">
        <v>773</v>
      </c>
      <c r="H30" s="19" t="s">
        <v>773</v>
      </c>
      <c r="I30" s="19" t="s">
        <v>4537</v>
      </c>
      <c r="J30" s="19" t="s">
        <v>2118</v>
      </c>
    </row>
    <row r="31" customFormat="false" ht="15" hidden="false" customHeight="false" outlineLevel="0" collapsed="false">
      <c r="A31" s="19" t="s">
        <v>2149</v>
      </c>
      <c r="B31" s="19" t="s">
        <v>4577</v>
      </c>
      <c r="C31" s="19" t="n">
        <v>10</v>
      </c>
      <c r="D31" s="19" t="n">
        <f aca="false">COUNTIFS(Responsibilities!$H:$H,A31,Responsibilities!$G:$G,"Algorithm step")</f>
        <v>10</v>
      </c>
      <c r="E31" s="20" t="n">
        <f aca="false">C31-D31</f>
        <v>0</v>
      </c>
      <c r="F31" s="19" t="s">
        <v>4578</v>
      </c>
      <c r="G31" s="19" t="s">
        <v>378</v>
      </c>
      <c r="H31" s="19" t="s">
        <v>378</v>
      </c>
      <c r="I31" s="19" t="s">
        <v>4537</v>
      </c>
      <c r="J31" s="19" t="s">
        <v>2151</v>
      </c>
    </row>
    <row r="32" customFormat="false" ht="15" hidden="false" customHeight="false" outlineLevel="0" collapsed="false">
      <c r="A32" s="19" t="s">
        <v>2182</v>
      </c>
      <c r="B32" s="19" t="s">
        <v>4577</v>
      </c>
      <c r="C32" s="19" t="n">
        <v>9</v>
      </c>
      <c r="D32" s="19" t="n">
        <f aca="false">COUNTIFS(Responsibilities!$H:$H,A32,Responsibilities!$G:$G,"Algorithm step")</f>
        <v>9</v>
      </c>
      <c r="E32" s="20" t="n">
        <f aca="false">C32-D32</f>
        <v>0</v>
      </c>
      <c r="F32" s="19" t="s">
        <v>4579</v>
      </c>
      <c r="G32" s="19" t="s">
        <v>929</v>
      </c>
      <c r="H32" s="19" t="s">
        <v>929</v>
      </c>
      <c r="I32" s="19" t="s">
        <v>4537</v>
      </c>
      <c r="J32" s="19" t="s">
        <v>2184</v>
      </c>
    </row>
    <row r="33" customFormat="false" ht="15" hidden="false" customHeight="false" outlineLevel="0" collapsed="false">
      <c r="A33" s="19" t="s">
        <v>328</v>
      </c>
      <c r="B33" s="19" t="s">
        <v>4577</v>
      </c>
      <c r="C33" s="19" t="n">
        <v>10</v>
      </c>
      <c r="D33" s="19" t="n">
        <f aca="false">COUNTIFS(Responsibilities!$H:$H,A33,Responsibilities!$G:$G,"Algorithm step")</f>
        <v>10</v>
      </c>
      <c r="E33" s="20" t="n">
        <f aca="false">C33-D33</f>
        <v>0</v>
      </c>
      <c r="F33" s="19" t="s">
        <v>335</v>
      </c>
      <c r="G33" s="19" t="s">
        <v>325</v>
      </c>
      <c r="H33" s="19" t="s">
        <v>325</v>
      </c>
      <c r="I33" s="19" t="s">
        <v>4537</v>
      </c>
      <c r="J33" s="19" t="s">
        <v>2213</v>
      </c>
    </row>
    <row r="34" customFormat="false" ht="15" hidden="false" customHeight="false" outlineLevel="0" collapsed="false">
      <c r="A34" s="19" t="s">
        <v>339</v>
      </c>
      <c r="B34" s="19" t="s">
        <v>4577</v>
      </c>
      <c r="C34" s="19" t="n">
        <v>9</v>
      </c>
      <c r="D34" s="19" t="n">
        <f aca="false">COUNTIFS(Responsibilities!$H:$H,A34,Responsibilities!$G:$G,"Algorithm step")</f>
        <v>9</v>
      </c>
      <c r="E34" s="20" t="n">
        <f aca="false">C34-D34</f>
        <v>0</v>
      </c>
      <c r="F34" s="19" t="s">
        <v>345</v>
      </c>
      <c r="G34" s="19" t="s">
        <v>336</v>
      </c>
      <c r="H34" s="19" t="s">
        <v>336</v>
      </c>
      <c r="I34" s="19" t="s">
        <v>4537</v>
      </c>
      <c r="J34" s="19" t="s">
        <v>2245</v>
      </c>
    </row>
    <row r="35" customFormat="false" ht="15" hidden="false" customHeight="false" outlineLevel="0" collapsed="false">
      <c r="A35" s="19" t="s">
        <v>2273</v>
      </c>
      <c r="B35" s="19" t="s">
        <v>4577</v>
      </c>
      <c r="C35" s="19" t="n">
        <v>7</v>
      </c>
      <c r="D35" s="19" t="n">
        <f aca="false">COUNTIFS(Responsibilities!$H:$H,A35,Responsibilities!$G:$G,"Algorithm step")</f>
        <v>7</v>
      </c>
      <c r="E35" s="20" t="n">
        <f aca="false">C35-D35</f>
        <v>0</v>
      </c>
      <c r="F35" s="19" t="s">
        <v>1300</v>
      </c>
      <c r="G35" s="19" t="s">
        <v>1290</v>
      </c>
      <c r="H35" s="19" t="s">
        <v>1290</v>
      </c>
      <c r="I35" s="19" t="s">
        <v>4537</v>
      </c>
      <c r="J35" s="19" t="s">
        <v>2275</v>
      </c>
    </row>
    <row r="36" customFormat="false" ht="15" hidden="false" customHeight="false" outlineLevel="0" collapsed="false">
      <c r="A36" s="19" t="s">
        <v>1213</v>
      </c>
      <c r="B36" s="19" t="s">
        <v>4580</v>
      </c>
      <c r="C36" s="19" t="n">
        <v>11</v>
      </c>
      <c r="D36" s="19" t="n">
        <f aca="false">COUNTIFS(Responsibilities!$H:$H,A36,Responsibilities!$G:$G,"Algorithm step")</f>
        <v>11</v>
      </c>
      <c r="E36" s="20" t="n">
        <f aca="false">C36-D36</f>
        <v>0</v>
      </c>
      <c r="F36" s="19" t="s">
        <v>1221</v>
      </c>
      <c r="G36" s="19" t="s">
        <v>1210</v>
      </c>
      <c r="H36" s="19" t="s">
        <v>1210</v>
      </c>
      <c r="I36" s="19" t="s">
        <v>4537</v>
      </c>
      <c r="J36" s="19" t="s">
        <v>2298</v>
      </c>
    </row>
    <row r="37" customFormat="false" ht="15" hidden="false" customHeight="false" outlineLevel="0" collapsed="false">
      <c r="A37" s="19" t="s">
        <v>2332</v>
      </c>
      <c r="B37" s="19" t="s">
        <v>4580</v>
      </c>
      <c r="C37" s="19" t="n">
        <v>9</v>
      </c>
      <c r="D37" s="19" t="n">
        <f aca="false">COUNTIFS(Responsibilities!$H:$H,A37,Responsibilities!$G:$G,"Algorithm step")</f>
        <v>9</v>
      </c>
      <c r="E37" s="20" t="n">
        <f aca="false">C37-D37</f>
        <v>0</v>
      </c>
      <c r="F37" s="19" t="s">
        <v>4581</v>
      </c>
      <c r="G37" s="19" t="s">
        <v>1267</v>
      </c>
      <c r="H37" s="19" t="s">
        <v>1267</v>
      </c>
      <c r="I37" s="19" t="s">
        <v>4537</v>
      </c>
      <c r="J37" s="19" t="s">
        <v>2334</v>
      </c>
    </row>
    <row r="38" customFormat="false" ht="15" hidden="false" customHeight="false" outlineLevel="0" collapsed="false">
      <c r="A38" s="19" t="s">
        <v>2362</v>
      </c>
      <c r="B38" s="19" t="s">
        <v>4580</v>
      </c>
      <c r="C38" s="19" t="n">
        <v>9</v>
      </c>
      <c r="D38" s="19" t="n">
        <f aca="false">COUNTIFS(Responsibilities!$H:$H,A38,Responsibilities!$G:$G,"Algorithm step")</f>
        <v>9</v>
      </c>
      <c r="E38" s="20" t="n">
        <f aca="false">C38-D38</f>
        <v>0</v>
      </c>
      <c r="F38" s="19" t="s">
        <v>4582</v>
      </c>
      <c r="G38" s="19" t="s">
        <v>545</v>
      </c>
      <c r="H38" s="19" t="s">
        <v>545</v>
      </c>
      <c r="I38" s="19" t="s">
        <v>4537</v>
      </c>
      <c r="J38" s="19" t="s">
        <v>2364</v>
      </c>
    </row>
    <row r="39" customFormat="false" ht="15" hidden="false" customHeight="false" outlineLevel="0" collapsed="false">
      <c r="A39" s="19" t="s">
        <v>2392</v>
      </c>
      <c r="B39" s="19" t="s">
        <v>4580</v>
      </c>
      <c r="C39" s="19" t="n">
        <v>10</v>
      </c>
      <c r="D39" s="19" t="n">
        <f aca="false">COUNTIFS(Responsibilities!$H:$H,A39,Responsibilities!$G:$G,"Algorithm step")</f>
        <v>10</v>
      </c>
      <c r="E39" s="20" t="n">
        <f aca="false">C39-D39</f>
        <v>0</v>
      </c>
      <c r="F39" s="19" t="s">
        <v>4583</v>
      </c>
      <c r="G39" s="19" t="s">
        <v>1256</v>
      </c>
      <c r="H39" s="19" t="s">
        <v>1256</v>
      </c>
      <c r="I39" s="19" t="s">
        <v>4537</v>
      </c>
      <c r="J39" s="19" t="s">
        <v>2394</v>
      </c>
    </row>
    <row r="40" customFormat="false" ht="15" hidden="false" customHeight="false" outlineLevel="0" collapsed="false">
      <c r="A40" s="19" t="s">
        <v>2425</v>
      </c>
      <c r="B40" s="19" t="s">
        <v>4584</v>
      </c>
      <c r="C40" s="19" t="n">
        <v>8</v>
      </c>
      <c r="D40" s="19" t="n">
        <f aca="false">COUNTIFS(Responsibilities!$H:$H,A40,Responsibilities!$G:$G,"Algorithm step")</f>
        <v>8</v>
      </c>
      <c r="E40" s="20" t="n">
        <f aca="false">C40-D40</f>
        <v>0</v>
      </c>
      <c r="F40" s="19" t="s">
        <v>4585</v>
      </c>
      <c r="G40" s="19" t="s">
        <v>47</v>
      </c>
      <c r="H40" s="19" t="s">
        <v>47</v>
      </c>
      <c r="I40" s="19" t="s">
        <v>2060</v>
      </c>
      <c r="J40" s="19" t="s">
        <v>51</v>
      </c>
    </row>
    <row r="41" customFormat="false" ht="15" hidden="false" customHeight="false" outlineLevel="0" collapsed="false">
      <c r="A41" s="19" t="s">
        <v>2451</v>
      </c>
      <c r="B41" s="19" t="s">
        <v>4584</v>
      </c>
      <c r="C41" s="19" t="n">
        <v>8</v>
      </c>
      <c r="D41" s="19" t="n">
        <f aca="false">COUNTIFS(Responsibilities!$H:$H,A41,Responsibilities!$G:$G,"Algorithm step")</f>
        <v>8</v>
      </c>
      <c r="E41" s="20" t="n">
        <f aca="false">C41-D41</f>
        <v>0</v>
      </c>
      <c r="F41" s="19" t="s">
        <v>4586</v>
      </c>
      <c r="G41" s="19" t="s">
        <v>47</v>
      </c>
      <c r="H41" s="19" t="s">
        <v>47</v>
      </c>
      <c r="I41" s="19" t="s">
        <v>2060</v>
      </c>
      <c r="J41" s="19" t="s">
        <v>51</v>
      </c>
    </row>
    <row r="42" customFormat="false" ht="22.35" hidden="false" customHeight="false" outlineLevel="0" collapsed="false">
      <c r="A42" s="19" t="s">
        <v>2477</v>
      </c>
      <c r="B42" s="19" t="s">
        <v>4584</v>
      </c>
      <c r="C42" s="19" t="n">
        <v>9</v>
      </c>
      <c r="D42" s="19" t="n">
        <f aca="false">COUNTIFS(Responsibilities!$H:$H,A42,Responsibilities!$G:$G,"Algorithm step")</f>
        <v>9</v>
      </c>
      <c r="E42" s="20" t="n">
        <f aca="false">C42-D42</f>
        <v>0</v>
      </c>
      <c r="F42" s="19" t="s">
        <v>4587</v>
      </c>
      <c r="G42" s="19" t="s">
        <v>47</v>
      </c>
      <c r="H42" s="19" t="s">
        <v>47</v>
      </c>
      <c r="I42" s="19" t="s">
        <v>4588</v>
      </c>
      <c r="J42" s="19" t="s">
        <v>51</v>
      </c>
    </row>
    <row r="43" customFormat="false" ht="15" hidden="false" customHeight="false" outlineLevel="0" collapsed="false">
      <c r="A43" s="19" t="s">
        <v>2506</v>
      </c>
      <c r="B43" s="19" t="s">
        <v>4584</v>
      </c>
      <c r="C43" s="19" t="n">
        <v>8</v>
      </c>
      <c r="D43" s="19" t="n">
        <f aca="false">COUNTIFS(Responsibilities!$H:$H,A43,Responsibilities!$G:$G,"Algorithm step")</f>
        <v>8</v>
      </c>
      <c r="E43" s="20" t="n">
        <f aca="false">C43-D43</f>
        <v>0</v>
      </c>
      <c r="F43" s="19" t="s">
        <v>4589</v>
      </c>
      <c r="G43" s="19" t="s">
        <v>149</v>
      </c>
      <c r="H43" s="19" t="s">
        <v>149</v>
      </c>
      <c r="I43" s="19" t="s">
        <v>4590</v>
      </c>
      <c r="J43" s="19" t="s">
        <v>2508</v>
      </c>
    </row>
    <row r="44" customFormat="false" ht="22.35" hidden="false" customHeight="false" outlineLevel="0" collapsed="false">
      <c r="A44" s="19" t="s">
        <v>2533</v>
      </c>
      <c r="B44" s="19" t="s">
        <v>4584</v>
      </c>
      <c r="C44" s="19" t="n">
        <v>8</v>
      </c>
      <c r="D44" s="19" t="n">
        <f aca="false">COUNTIFS(Responsibilities!$H:$H,A44,Responsibilities!$G:$G,"Algorithm step")</f>
        <v>8</v>
      </c>
      <c r="E44" s="20" t="n">
        <f aca="false">C44-D44</f>
        <v>0</v>
      </c>
      <c r="F44" s="19" t="s">
        <v>4591</v>
      </c>
      <c r="G44" s="19" t="s">
        <v>378</v>
      </c>
      <c r="H44" s="19" t="s">
        <v>378</v>
      </c>
      <c r="I44" s="19" t="s">
        <v>4592</v>
      </c>
      <c r="J44" s="19" t="s">
        <v>2535</v>
      </c>
    </row>
    <row r="45" customFormat="false" ht="22.35" hidden="false" customHeight="false" outlineLevel="0" collapsed="false">
      <c r="A45" s="19" t="s">
        <v>2560</v>
      </c>
      <c r="B45" s="19" t="s">
        <v>4584</v>
      </c>
      <c r="C45" s="19" t="n">
        <v>8</v>
      </c>
      <c r="D45" s="19" t="n">
        <f aca="false">COUNTIFS(Responsibilities!$H:$H,A45,Responsibilities!$G:$G,"Algorithm step")</f>
        <v>8</v>
      </c>
      <c r="E45" s="20" t="n">
        <f aca="false">C45-D45</f>
        <v>0</v>
      </c>
      <c r="F45" s="19" t="s">
        <v>4593</v>
      </c>
      <c r="G45" s="19" t="s">
        <v>1267</v>
      </c>
      <c r="H45" s="19" t="s">
        <v>1267</v>
      </c>
      <c r="I45" s="19" t="s">
        <v>4594</v>
      </c>
      <c r="J45" s="19" t="s">
        <v>2334</v>
      </c>
    </row>
    <row r="46" customFormat="false" ht="15" hidden="false" customHeight="false" outlineLevel="0" collapsed="false">
      <c r="A46" s="19" t="s">
        <v>2586</v>
      </c>
      <c r="B46" s="19" t="s">
        <v>4584</v>
      </c>
      <c r="C46" s="19" t="n">
        <v>9</v>
      </c>
      <c r="D46" s="19" t="n">
        <f aca="false">COUNTIFS(Responsibilities!$H:$H,A46,Responsibilities!$G:$G,"Algorithm step")</f>
        <v>9</v>
      </c>
      <c r="E46" s="20" t="n">
        <f aca="false">C46-D46</f>
        <v>0</v>
      </c>
      <c r="F46" s="19" t="s">
        <v>4595</v>
      </c>
      <c r="G46" s="19" t="s">
        <v>440</v>
      </c>
      <c r="H46" s="19" t="s">
        <v>440</v>
      </c>
      <c r="I46" s="19" t="s">
        <v>4537</v>
      </c>
      <c r="J46" s="19" t="s">
        <v>2588</v>
      </c>
    </row>
    <row r="47" customFormat="false" ht="15" hidden="false" customHeight="false" outlineLevel="0" collapsed="false">
      <c r="A47" s="19" t="s">
        <v>2616</v>
      </c>
      <c r="B47" s="19" t="s">
        <v>4584</v>
      </c>
      <c r="C47" s="19" t="n">
        <v>8</v>
      </c>
      <c r="D47" s="19" t="n">
        <f aca="false">COUNTIFS(Responsibilities!$H:$H,A47,Responsibilities!$G:$G,"Algorithm step")</f>
        <v>8</v>
      </c>
      <c r="E47" s="20" t="n">
        <f aca="false">C47-D47</f>
        <v>0</v>
      </c>
      <c r="F47" s="19" t="s">
        <v>4596</v>
      </c>
      <c r="G47" s="19" t="s">
        <v>272</v>
      </c>
      <c r="H47" s="19" t="s">
        <v>272</v>
      </c>
      <c r="I47" s="19" t="s">
        <v>4597</v>
      </c>
      <c r="J47" s="19" t="s">
        <v>2618</v>
      </c>
    </row>
    <row r="48" customFormat="false" ht="15" hidden="false" customHeight="false" outlineLevel="0" collapsed="false">
      <c r="A48" s="19" t="s">
        <v>2643</v>
      </c>
      <c r="B48" s="19" t="s">
        <v>4584</v>
      </c>
      <c r="C48" s="19" t="n">
        <v>8</v>
      </c>
      <c r="D48" s="19" t="n">
        <f aca="false">COUNTIFS(Responsibilities!$H:$H,A48,Responsibilities!$G:$G,"Algorithm step")</f>
        <v>8</v>
      </c>
      <c r="E48" s="20" t="n">
        <f aca="false">C48-D48</f>
        <v>0</v>
      </c>
      <c r="F48" s="19" t="s">
        <v>4598</v>
      </c>
      <c r="G48" s="19" t="s">
        <v>272</v>
      </c>
      <c r="H48" s="19" t="s">
        <v>272</v>
      </c>
      <c r="I48" s="19" t="s">
        <v>4597</v>
      </c>
      <c r="J48" s="19" t="s">
        <v>2618</v>
      </c>
    </row>
    <row r="49" customFormat="false" ht="15" hidden="false" customHeight="false" outlineLevel="0" collapsed="false">
      <c r="A49" s="19" t="s">
        <v>2669</v>
      </c>
      <c r="B49" s="19" t="s">
        <v>4584</v>
      </c>
      <c r="C49" s="19" t="n">
        <v>8</v>
      </c>
      <c r="D49" s="19" t="n">
        <f aca="false">COUNTIFS(Responsibilities!$H:$H,A49,Responsibilities!$G:$G,"Algorithm step")</f>
        <v>8</v>
      </c>
      <c r="E49" s="20" t="n">
        <f aca="false">C49-D49</f>
        <v>0</v>
      </c>
      <c r="F49" s="19" t="s">
        <v>4599</v>
      </c>
      <c r="G49" s="19" t="s">
        <v>272</v>
      </c>
      <c r="H49" s="19" t="s">
        <v>272</v>
      </c>
      <c r="I49" s="19" t="s">
        <v>4597</v>
      </c>
      <c r="J49" s="19" t="s">
        <v>2618</v>
      </c>
    </row>
    <row r="50" customFormat="false" ht="15" hidden="false" customHeight="false" outlineLevel="0" collapsed="false">
      <c r="A50" s="19" t="s">
        <v>731</v>
      </c>
      <c r="B50" s="19" t="s">
        <v>4600</v>
      </c>
      <c r="C50" s="19" t="n">
        <v>10</v>
      </c>
      <c r="D50" s="19" t="n">
        <f aca="false">COUNTIFS(Responsibilities!$H:$H,A50,Responsibilities!$G:$G,"Algorithm step")</f>
        <v>10</v>
      </c>
      <c r="E50" s="20" t="n">
        <f aca="false">C50-D50</f>
        <v>0</v>
      </c>
      <c r="F50" s="19" t="s">
        <v>739</v>
      </c>
      <c r="G50" s="19" t="s">
        <v>728</v>
      </c>
      <c r="H50" s="19" t="s">
        <v>728</v>
      </c>
      <c r="I50" s="19" t="s">
        <v>4537</v>
      </c>
      <c r="J50" s="19" t="s">
        <v>2696</v>
      </c>
    </row>
    <row r="51" customFormat="false" ht="15" hidden="false" customHeight="false" outlineLevel="0" collapsed="false">
      <c r="A51" s="19" t="s">
        <v>349</v>
      </c>
      <c r="B51" s="19" t="s">
        <v>4600</v>
      </c>
      <c r="C51" s="19" t="n">
        <v>9</v>
      </c>
      <c r="D51" s="19" t="n">
        <f aca="false">COUNTIFS(Responsibilities!$H:$H,A51,Responsibilities!$G:$G,"Algorithm step")</f>
        <v>9</v>
      </c>
      <c r="E51" s="20" t="n">
        <f aca="false">C51-D51</f>
        <v>0</v>
      </c>
      <c r="F51" s="19" t="s">
        <v>356</v>
      </c>
      <c r="G51" s="19" t="s">
        <v>346</v>
      </c>
      <c r="H51" s="19" t="s">
        <v>4601</v>
      </c>
      <c r="I51" s="19" t="s">
        <v>4602</v>
      </c>
      <c r="J51" s="19" t="s">
        <v>2728</v>
      </c>
    </row>
    <row r="52" customFormat="false" ht="15" hidden="false" customHeight="false" outlineLevel="0" collapsed="false">
      <c r="A52" s="19" t="s">
        <v>1247</v>
      </c>
      <c r="B52" s="19" t="s">
        <v>4600</v>
      </c>
      <c r="C52" s="19" t="n">
        <v>8</v>
      </c>
      <c r="D52" s="19" t="n">
        <f aca="false">COUNTIFS(Responsibilities!$H:$H,A52,Responsibilities!$G:$G,"Algorithm step")</f>
        <v>8</v>
      </c>
      <c r="E52" s="20" t="n">
        <f aca="false">C52-D52</f>
        <v>0</v>
      </c>
      <c r="F52" s="19" t="s">
        <v>1255</v>
      </c>
      <c r="G52" s="19" t="s">
        <v>1244</v>
      </c>
      <c r="H52" s="19" t="s">
        <v>1244</v>
      </c>
      <c r="I52" s="19" t="s">
        <v>4537</v>
      </c>
      <c r="J52" s="19" t="s">
        <v>2757</v>
      </c>
    </row>
    <row r="53" customFormat="false" ht="15" hidden="false" customHeight="false" outlineLevel="0" collapsed="false">
      <c r="A53" s="19" t="s">
        <v>1126</v>
      </c>
      <c r="B53" s="19" t="s">
        <v>4600</v>
      </c>
      <c r="C53" s="19" t="n">
        <v>8</v>
      </c>
      <c r="D53" s="19" t="n">
        <f aca="false">COUNTIFS(Responsibilities!$H:$H,A53,Responsibilities!$G:$G,"Algorithm step")</f>
        <v>8</v>
      </c>
      <c r="E53" s="20" t="n">
        <f aca="false">C53-D53</f>
        <v>0</v>
      </c>
      <c r="F53" s="19" t="s">
        <v>1134</v>
      </c>
      <c r="G53" s="19" t="s">
        <v>1123</v>
      </c>
      <c r="H53" s="19" t="s">
        <v>1123</v>
      </c>
      <c r="I53" s="19" t="s">
        <v>4537</v>
      </c>
      <c r="J53" s="19" t="s">
        <v>2783</v>
      </c>
    </row>
    <row r="54" customFormat="false" ht="15" hidden="false" customHeight="false" outlineLevel="0" collapsed="false">
      <c r="A54" s="19" t="s">
        <v>743</v>
      </c>
      <c r="B54" s="19" t="s">
        <v>4600</v>
      </c>
      <c r="C54" s="19" t="n">
        <v>8</v>
      </c>
      <c r="D54" s="19" t="n">
        <f aca="false">COUNTIFS(Responsibilities!$H:$H,A54,Responsibilities!$G:$G,"Algorithm step")</f>
        <v>8</v>
      </c>
      <c r="E54" s="20" t="n">
        <f aca="false">C54-D54</f>
        <v>0</v>
      </c>
      <c r="F54" s="19" t="s">
        <v>4603</v>
      </c>
      <c r="G54" s="19" t="s">
        <v>740</v>
      </c>
      <c r="H54" s="19" t="s">
        <v>740</v>
      </c>
      <c r="I54" s="19" t="s">
        <v>4537</v>
      </c>
      <c r="J54" s="19" t="s">
        <v>2809</v>
      </c>
    </row>
    <row r="55" customFormat="false" ht="15" hidden="false" customHeight="false" outlineLevel="0" collapsed="false">
      <c r="A55" s="19" t="s">
        <v>467</v>
      </c>
      <c r="B55" s="19" t="s">
        <v>4600</v>
      </c>
      <c r="C55" s="19" t="n">
        <v>10</v>
      </c>
      <c r="D55" s="19" t="n">
        <f aca="false">COUNTIFS(Responsibilities!$H:$H,A55,Responsibilities!$G:$G,"Algorithm step")</f>
        <v>10</v>
      </c>
      <c r="E55" s="20" t="n">
        <f aca="false">C55-D55</f>
        <v>0</v>
      </c>
      <c r="F55" s="19" t="s">
        <v>475</v>
      </c>
      <c r="G55" s="19" t="s">
        <v>464</v>
      </c>
      <c r="H55" s="19" t="s">
        <v>464</v>
      </c>
      <c r="I55" s="19" t="s">
        <v>4537</v>
      </c>
      <c r="J55" s="19" t="s">
        <v>2835</v>
      </c>
    </row>
    <row r="56" customFormat="false" ht="15" hidden="false" customHeight="false" outlineLevel="0" collapsed="false">
      <c r="A56" s="19" t="s">
        <v>455</v>
      </c>
      <c r="B56" s="19" t="s">
        <v>4600</v>
      </c>
      <c r="C56" s="19" t="n">
        <v>8</v>
      </c>
      <c r="D56" s="19" t="n">
        <f aca="false">COUNTIFS(Responsibilities!$H:$H,A56,Responsibilities!$G:$G,"Algorithm step")</f>
        <v>8</v>
      </c>
      <c r="E56" s="20" t="n">
        <f aca="false">C56-D56</f>
        <v>0</v>
      </c>
      <c r="F56" s="19" t="s">
        <v>463</v>
      </c>
      <c r="G56" s="19" t="s">
        <v>452</v>
      </c>
      <c r="H56" s="19" t="s">
        <v>452</v>
      </c>
      <c r="I56" s="19" t="s">
        <v>4537</v>
      </c>
      <c r="J56" s="19" t="s">
        <v>1139</v>
      </c>
    </row>
    <row r="57" customFormat="false" ht="15" hidden="false" customHeight="false" outlineLevel="0" collapsed="false">
      <c r="A57" s="19" t="s">
        <v>967</v>
      </c>
      <c r="B57" s="19" t="s">
        <v>4600</v>
      </c>
      <c r="C57" s="19" t="n">
        <v>8</v>
      </c>
      <c r="D57" s="19" t="n">
        <f aca="false">COUNTIFS(Responsibilities!$H:$H,A57,Responsibilities!$G:$G,"Algorithm step")</f>
        <v>8</v>
      </c>
      <c r="E57" s="20" t="n">
        <f aca="false">C57-D57</f>
        <v>0</v>
      </c>
      <c r="F57" s="19" t="s">
        <v>975</v>
      </c>
      <c r="G57" s="19" t="s">
        <v>964</v>
      </c>
      <c r="H57" s="19" t="s">
        <v>964</v>
      </c>
      <c r="I57" s="19" t="s">
        <v>4537</v>
      </c>
      <c r="J57" s="19" t="s">
        <v>2892</v>
      </c>
    </row>
    <row r="58" customFormat="false" ht="15" hidden="false" customHeight="false" outlineLevel="0" collapsed="false">
      <c r="A58" s="19" t="s">
        <v>987</v>
      </c>
      <c r="B58" s="19" t="s">
        <v>4600</v>
      </c>
      <c r="C58" s="19" t="n">
        <v>9</v>
      </c>
      <c r="D58" s="19" t="n">
        <f aca="false">COUNTIFS(Responsibilities!$H:$H,A58,Responsibilities!$G:$G,"Algorithm step")</f>
        <v>9</v>
      </c>
      <c r="E58" s="20" t="n">
        <f aca="false">C58-D58</f>
        <v>0</v>
      </c>
      <c r="F58" s="19" t="s">
        <v>996</v>
      </c>
      <c r="G58" s="19" t="s">
        <v>984</v>
      </c>
      <c r="H58" s="19" t="s">
        <v>4604</v>
      </c>
      <c r="I58" s="19" t="s">
        <v>4537</v>
      </c>
      <c r="J58" s="19" t="s">
        <v>2918</v>
      </c>
    </row>
    <row r="59" customFormat="false" ht="15" hidden="false" customHeight="false" outlineLevel="0" collapsed="false">
      <c r="A59" s="19" t="s">
        <v>2945</v>
      </c>
      <c r="B59" s="19" t="s">
        <v>4605</v>
      </c>
      <c r="C59" s="19" t="n">
        <v>10</v>
      </c>
      <c r="D59" s="19" t="n">
        <f aca="false">COUNTIFS(Responsibilities!$H:$H,A59,Responsibilities!$G:$G,"Algorithm step")</f>
        <v>10</v>
      </c>
      <c r="E59" s="20" t="n">
        <f aca="false">C59-D59</f>
        <v>0</v>
      </c>
      <c r="F59" s="19" t="s">
        <v>4606</v>
      </c>
      <c r="G59" s="19" t="s">
        <v>47</v>
      </c>
      <c r="H59" s="19" t="s">
        <v>47</v>
      </c>
      <c r="I59" s="19" t="s">
        <v>2060</v>
      </c>
      <c r="J59" s="19" t="s">
        <v>51</v>
      </c>
    </row>
    <row r="60" customFormat="false" ht="15" hidden="false" customHeight="false" outlineLevel="0" collapsed="false">
      <c r="A60" s="19" t="s">
        <v>2977</v>
      </c>
      <c r="B60" s="19" t="s">
        <v>4607</v>
      </c>
      <c r="C60" s="19" t="n">
        <v>8</v>
      </c>
      <c r="D60" s="19" t="n">
        <f aca="false">COUNTIFS(Responsibilities!$H:$H,A60,Responsibilities!$G:$G,"Algorithm step")</f>
        <v>8</v>
      </c>
      <c r="E60" s="20" t="n">
        <f aca="false">C60-D60</f>
        <v>0</v>
      </c>
      <c r="F60" s="19" t="s">
        <v>4608</v>
      </c>
      <c r="G60" s="19" t="s">
        <v>137</v>
      </c>
      <c r="H60" s="19" t="s">
        <v>137</v>
      </c>
      <c r="I60" s="19" t="s">
        <v>4572</v>
      </c>
      <c r="J60" s="19" t="s">
        <v>690</v>
      </c>
    </row>
    <row r="61" customFormat="false" ht="15" hidden="false" customHeight="false" outlineLevel="0" collapsed="false">
      <c r="A61" s="19" t="s">
        <v>3003</v>
      </c>
      <c r="B61" s="19" t="s">
        <v>4607</v>
      </c>
      <c r="C61" s="19" t="n">
        <v>7</v>
      </c>
      <c r="D61" s="19" t="n">
        <f aca="false">COUNTIFS(Responsibilities!$H:$H,A61,Responsibilities!$G:$G,"Algorithm step")</f>
        <v>7</v>
      </c>
      <c r="E61" s="20" t="n">
        <f aca="false">C61-D61</f>
        <v>0</v>
      </c>
      <c r="F61" s="19" t="s">
        <v>4609</v>
      </c>
      <c r="G61" s="19" t="s">
        <v>137</v>
      </c>
      <c r="H61" s="19" t="s">
        <v>137</v>
      </c>
      <c r="I61" s="19" t="s">
        <v>4572</v>
      </c>
      <c r="J61" s="19" t="s">
        <v>1139</v>
      </c>
    </row>
    <row r="62" customFormat="false" ht="15" hidden="false" customHeight="false" outlineLevel="0" collapsed="false">
      <c r="A62" s="19" t="s">
        <v>3026</v>
      </c>
      <c r="B62" s="19" t="s">
        <v>4607</v>
      </c>
      <c r="C62" s="19" t="n">
        <v>9</v>
      </c>
      <c r="D62" s="19" t="n">
        <f aca="false">COUNTIFS(Responsibilities!$H:$H,A62,Responsibilities!$G:$G,"Algorithm step")</f>
        <v>9</v>
      </c>
      <c r="E62" s="20" t="n">
        <f aca="false">C62-D62</f>
        <v>0</v>
      </c>
      <c r="F62" s="19" t="s">
        <v>4610</v>
      </c>
      <c r="G62" s="19" t="s">
        <v>137</v>
      </c>
      <c r="H62" s="19" t="s">
        <v>137</v>
      </c>
      <c r="I62" s="19" t="s">
        <v>4572</v>
      </c>
      <c r="J62" s="19" t="s">
        <v>3028</v>
      </c>
    </row>
    <row r="63" customFormat="false" ht="15" hidden="false" customHeight="false" outlineLevel="0" collapsed="false">
      <c r="A63" s="19" t="s">
        <v>3056</v>
      </c>
      <c r="B63" s="19" t="s">
        <v>4611</v>
      </c>
      <c r="C63" s="19" t="n">
        <v>10</v>
      </c>
      <c r="D63" s="19" t="n">
        <f aca="false">COUNTIFS(Responsibilities!$H:$H,A63,Responsibilities!$G:$G,"Algorithm step")</f>
        <v>10</v>
      </c>
      <c r="E63" s="20" t="n">
        <f aca="false">C63-D63</f>
        <v>0</v>
      </c>
      <c r="F63" s="19" t="s">
        <v>4612</v>
      </c>
      <c r="G63" s="19" t="s">
        <v>929</v>
      </c>
      <c r="H63" s="19" t="s">
        <v>929</v>
      </c>
      <c r="I63" s="19" t="s">
        <v>4537</v>
      </c>
      <c r="J63" s="19" t="s">
        <v>3058</v>
      </c>
    </row>
    <row r="64" customFormat="false" ht="15" hidden="false" customHeight="false" outlineLevel="0" collapsed="false">
      <c r="A64" s="19" t="s">
        <v>3089</v>
      </c>
      <c r="B64" s="19" t="s">
        <v>4605</v>
      </c>
      <c r="C64" s="19" t="n">
        <v>9</v>
      </c>
      <c r="D64" s="19" t="n">
        <f aca="false">COUNTIFS(Responsibilities!$H:$H,A64,Responsibilities!$G:$G,"Algorithm step")</f>
        <v>9</v>
      </c>
      <c r="E64" s="20" t="n">
        <f aca="false">C64-D64</f>
        <v>0</v>
      </c>
      <c r="F64" s="19" t="s">
        <v>4613</v>
      </c>
      <c r="G64" s="19" t="s">
        <v>47</v>
      </c>
      <c r="H64" s="19" t="s">
        <v>47</v>
      </c>
      <c r="I64" s="19" t="s">
        <v>2060</v>
      </c>
      <c r="J64" s="19" t="s">
        <v>51</v>
      </c>
    </row>
    <row r="65" customFormat="false" ht="15" hidden="false" customHeight="false" outlineLevel="0" collapsed="false">
      <c r="A65" s="19" t="s">
        <v>3118</v>
      </c>
      <c r="B65" s="19" t="s">
        <v>4605</v>
      </c>
      <c r="C65" s="19" t="n">
        <v>9</v>
      </c>
      <c r="D65" s="19" t="n">
        <f aca="false">COUNTIFS(Responsibilities!$H:$H,A65,Responsibilities!$G:$G,"Algorithm step")</f>
        <v>9</v>
      </c>
      <c r="E65" s="20" t="n">
        <f aca="false">C65-D65</f>
        <v>0</v>
      </c>
      <c r="F65" s="19" t="s">
        <v>4614</v>
      </c>
      <c r="G65" s="19" t="s">
        <v>47</v>
      </c>
      <c r="H65" s="19" t="s">
        <v>47</v>
      </c>
      <c r="I65" s="19" t="s">
        <v>2060</v>
      </c>
      <c r="J65" s="19" t="s">
        <v>51</v>
      </c>
    </row>
    <row r="66" customFormat="false" ht="15" hidden="false" customHeight="false" outlineLevel="0" collapsed="false">
      <c r="A66" s="19" t="s">
        <v>360</v>
      </c>
      <c r="B66" s="19" t="s">
        <v>4615</v>
      </c>
      <c r="C66" s="19" t="n">
        <v>7</v>
      </c>
      <c r="D66" s="19" t="n">
        <f aca="false">COUNTIFS(Responsibilities!$H:$H,A66,Responsibilities!$G:$G,"Algorithm step")</f>
        <v>7</v>
      </c>
      <c r="E66" s="20" t="n">
        <f aca="false">C66-D66</f>
        <v>0</v>
      </c>
      <c r="F66" s="19" t="s">
        <v>367</v>
      </c>
      <c r="G66" s="19" t="s">
        <v>357</v>
      </c>
      <c r="H66" s="19" t="s">
        <v>357</v>
      </c>
      <c r="I66" s="19" t="s">
        <v>4537</v>
      </c>
      <c r="J66" s="19" t="s">
        <v>1139</v>
      </c>
    </row>
    <row r="67" customFormat="false" ht="15" hidden="false" customHeight="false" outlineLevel="0" collapsed="false">
      <c r="A67" s="19" t="s">
        <v>371</v>
      </c>
      <c r="B67" s="19" t="s">
        <v>4615</v>
      </c>
      <c r="C67" s="19" t="n">
        <v>8</v>
      </c>
      <c r="D67" s="19" t="n">
        <f aca="false">COUNTIFS(Responsibilities!$H:$H,A67,Responsibilities!$G:$G,"Algorithm step")</f>
        <v>8</v>
      </c>
      <c r="E67" s="20" t="n">
        <f aca="false">C67-D67</f>
        <v>0</v>
      </c>
      <c r="F67" s="19" t="s">
        <v>377</v>
      </c>
      <c r="G67" s="19" t="s">
        <v>368</v>
      </c>
      <c r="H67" s="19" t="s">
        <v>368</v>
      </c>
      <c r="I67" s="19" t="s">
        <v>4537</v>
      </c>
      <c r="J67" s="19" t="s">
        <v>3170</v>
      </c>
    </row>
    <row r="68" customFormat="false" ht="15" hidden="false" customHeight="false" outlineLevel="0" collapsed="false">
      <c r="A68" s="19" t="s">
        <v>800</v>
      </c>
      <c r="B68" s="19" t="s">
        <v>4615</v>
      </c>
      <c r="C68" s="19" t="n">
        <v>9</v>
      </c>
      <c r="D68" s="19" t="n">
        <f aca="false">COUNTIFS(Responsibilities!$H:$H,A68,Responsibilities!$G:$G,"Algorithm step")</f>
        <v>9</v>
      </c>
      <c r="E68" s="20" t="n">
        <f aca="false">C68-D68</f>
        <v>0</v>
      </c>
      <c r="F68" s="19" t="s">
        <v>806</v>
      </c>
      <c r="G68" s="19" t="s">
        <v>797</v>
      </c>
      <c r="H68" s="19" t="s">
        <v>797</v>
      </c>
      <c r="I68" s="19" t="s">
        <v>4537</v>
      </c>
      <c r="J68" s="19" t="s">
        <v>1139</v>
      </c>
    </row>
    <row r="69" customFormat="false" ht="15" hidden="false" customHeight="false" outlineLevel="0" collapsed="false">
      <c r="A69" s="19" t="s">
        <v>3223</v>
      </c>
      <c r="B69" s="19" t="s">
        <v>4615</v>
      </c>
      <c r="C69" s="19" t="n">
        <v>10</v>
      </c>
      <c r="D69" s="19" t="n">
        <f aca="false">COUNTIFS(Responsibilities!$H:$H,A69,Responsibilities!$G:$G,"Algorithm step")</f>
        <v>10</v>
      </c>
      <c r="E69" s="20" t="n">
        <f aca="false">C69-D69</f>
        <v>0</v>
      </c>
      <c r="F69" s="19" t="s">
        <v>4616</v>
      </c>
      <c r="G69" s="19" t="s">
        <v>378</v>
      </c>
      <c r="H69" s="19" t="s">
        <v>378</v>
      </c>
      <c r="I69" s="19" t="s">
        <v>4537</v>
      </c>
      <c r="J69" s="19" t="s">
        <v>3225</v>
      </c>
    </row>
    <row r="70" customFormat="false" ht="15" hidden="false" customHeight="false" outlineLevel="0" collapsed="false">
      <c r="A70" s="19" t="s">
        <v>3256</v>
      </c>
      <c r="B70" s="19" t="s">
        <v>4617</v>
      </c>
      <c r="C70" s="19" t="n">
        <v>8</v>
      </c>
      <c r="D70" s="19" t="n">
        <f aca="false">COUNTIFS(Responsibilities!$H:$H,A70,Responsibilities!$G:$G,"Algorithm step")</f>
        <v>8</v>
      </c>
      <c r="E70" s="20" t="n">
        <f aca="false">C70-D70</f>
        <v>0</v>
      </c>
      <c r="F70" s="19" t="s">
        <v>4618</v>
      </c>
      <c r="G70" s="19" t="s">
        <v>545</v>
      </c>
      <c r="H70" s="19" t="s">
        <v>545</v>
      </c>
      <c r="I70" s="19" t="s">
        <v>4619</v>
      </c>
      <c r="J70" s="19" t="s">
        <v>3258</v>
      </c>
    </row>
    <row r="71" customFormat="false" ht="15" hidden="false" customHeight="false" outlineLevel="0" collapsed="false">
      <c r="A71" s="19" t="s">
        <v>956</v>
      </c>
      <c r="B71" s="19" t="s">
        <v>4617</v>
      </c>
      <c r="C71" s="19" t="n">
        <v>8</v>
      </c>
      <c r="D71" s="19" t="n">
        <f aca="false">COUNTIFS(Responsibilities!$H:$H,A71,Responsibilities!$G:$G,"Algorithm step")</f>
        <v>8</v>
      </c>
      <c r="E71" s="20" t="n">
        <f aca="false">C71-D71</f>
        <v>0</v>
      </c>
      <c r="F71" s="19" t="s">
        <v>963</v>
      </c>
      <c r="G71" s="19" t="s">
        <v>953</v>
      </c>
      <c r="H71" s="19" t="s">
        <v>953</v>
      </c>
      <c r="I71" s="19" t="s">
        <v>4537</v>
      </c>
      <c r="J71" s="19" t="s">
        <v>3284</v>
      </c>
    </row>
    <row r="72" customFormat="false" ht="15" hidden="false" customHeight="false" outlineLevel="0" collapsed="false">
      <c r="A72" s="19" t="s">
        <v>3309</v>
      </c>
      <c r="B72" s="19" t="s">
        <v>4617</v>
      </c>
      <c r="C72" s="19" t="n">
        <v>9</v>
      </c>
      <c r="D72" s="19" t="n">
        <f aca="false">COUNTIFS(Responsibilities!$H:$H,A72,Responsibilities!$G:$G,"Algorithm step")</f>
        <v>9</v>
      </c>
      <c r="E72" s="20" t="n">
        <f aca="false">C72-D72</f>
        <v>0</v>
      </c>
      <c r="F72" s="19" t="s">
        <v>4620</v>
      </c>
      <c r="G72" s="19" t="s">
        <v>663</v>
      </c>
      <c r="H72" s="19" t="s">
        <v>663</v>
      </c>
      <c r="I72" s="19" t="s">
        <v>4537</v>
      </c>
      <c r="J72" s="19" t="s">
        <v>3311</v>
      </c>
    </row>
    <row r="73" customFormat="false" ht="15" hidden="false" customHeight="false" outlineLevel="0" collapsed="false">
      <c r="A73" s="19" t="s">
        <v>3339</v>
      </c>
      <c r="B73" s="19" t="s">
        <v>4621</v>
      </c>
      <c r="C73" s="19" t="n">
        <v>9</v>
      </c>
      <c r="D73" s="19" t="n">
        <f aca="false">COUNTIFS(Responsibilities!$H:$H,A73,Responsibilities!$G:$G,"Algorithm step")</f>
        <v>9</v>
      </c>
      <c r="E73" s="20" t="n">
        <f aca="false">C73-D73</f>
        <v>0</v>
      </c>
      <c r="F73" s="19" t="s">
        <v>4622</v>
      </c>
      <c r="G73" s="19" t="s">
        <v>47</v>
      </c>
      <c r="H73" s="19" t="s">
        <v>47</v>
      </c>
      <c r="I73" s="19" t="s">
        <v>2060</v>
      </c>
      <c r="J73" s="19" t="s">
        <v>51</v>
      </c>
    </row>
    <row r="74" customFormat="false" ht="22.35" hidden="false" customHeight="false" outlineLevel="0" collapsed="false">
      <c r="A74" s="19" t="s">
        <v>3368</v>
      </c>
      <c r="B74" s="19" t="s">
        <v>4623</v>
      </c>
      <c r="C74" s="19" t="n">
        <v>8</v>
      </c>
      <c r="D74" s="19" t="n">
        <f aca="false">COUNTIFS(Responsibilities!$H:$H,A74,Responsibilities!$G:$G,"Algorithm step")</f>
        <v>8</v>
      </c>
      <c r="E74" s="20" t="n">
        <f aca="false">C74-D74</f>
        <v>0</v>
      </c>
      <c r="F74" s="19" t="s">
        <v>4624</v>
      </c>
      <c r="G74" s="19" t="s">
        <v>906</v>
      </c>
      <c r="H74" s="19" t="s">
        <v>906</v>
      </c>
      <c r="I74" s="19" t="s">
        <v>4625</v>
      </c>
      <c r="J74" s="19" t="s">
        <v>3370</v>
      </c>
    </row>
    <row r="75" customFormat="false" ht="15" hidden="false" customHeight="false" outlineLevel="0" collapsed="false">
      <c r="A75" s="19" t="s">
        <v>3395</v>
      </c>
      <c r="B75" s="19" t="s">
        <v>4626</v>
      </c>
      <c r="C75" s="19" t="n">
        <v>9</v>
      </c>
      <c r="D75" s="19" t="n">
        <f aca="false">COUNTIFS(Responsibilities!$H:$H,A75,Responsibilities!$G:$G,"Algorithm step")</f>
        <v>9</v>
      </c>
      <c r="E75" s="20" t="n">
        <f aca="false">C75-D75</f>
        <v>0</v>
      </c>
      <c r="F75" s="19" t="s">
        <v>136</v>
      </c>
      <c r="G75" s="19" t="s">
        <v>126</v>
      </c>
      <c r="H75" s="19" t="s">
        <v>126</v>
      </c>
      <c r="I75" s="19" t="s">
        <v>4537</v>
      </c>
      <c r="J75" s="19" t="s">
        <v>3397</v>
      </c>
    </row>
    <row r="76" customFormat="false" ht="15" hidden="false" customHeight="false" outlineLevel="0" collapsed="false">
      <c r="A76" s="19" t="s">
        <v>117</v>
      </c>
      <c r="B76" s="19" t="s">
        <v>4626</v>
      </c>
      <c r="C76" s="19" t="n">
        <v>10</v>
      </c>
      <c r="D76" s="19" t="n">
        <f aca="false">COUNTIFS(Responsibilities!$H:$H,A76,Responsibilities!$G:$G,"Algorithm step")</f>
        <v>10</v>
      </c>
      <c r="E76" s="20" t="n">
        <f aca="false">C76-D76</f>
        <v>0</v>
      </c>
      <c r="F76" s="19" t="s">
        <v>125</v>
      </c>
      <c r="G76" s="19" t="s">
        <v>114</v>
      </c>
      <c r="H76" s="19" t="s">
        <v>114</v>
      </c>
      <c r="I76" s="19" t="s">
        <v>4627</v>
      </c>
      <c r="J76" s="19" t="s">
        <v>3426</v>
      </c>
    </row>
    <row r="77" customFormat="false" ht="15" hidden="false" customHeight="false" outlineLevel="0" collapsed="false">
      <c r="A77" s="19" t="s">
        <v>3457</v>
      </c>
      <c r="B77" s="19" t="s">
        <v>4626</v>
      </c>
      <c r="C77" s="19" t="n">
        <v>9</v>
      </c>
      <c r="D77" s="19" t="n">
        <f aca="false">COUNTIFS(Responsibilities!$H:$H,A77,Responsibilities!$G:$G,"Algorithm step")</f>
        <v>9</v>
      </c>
      <c r="E77" s="20" t="n">
        <f aca="false">C77-D77</f>
        <v>0</v>
      </c>
      <c r="F77" s="19" t="s">
        <v>4628</v>
      </c>
      <c r="G77" s="19" t="s">
        <v>1191</v>
      </c>
      <c r="H77" s="19" t="s">
        <v>1191</v>
      </c>
      <c r="I77" s="19" t="s">
        <v>4537</v>
      </c>
      <c r="J77" s="19" t="s">
        <v>3459</v>
      </c>
    </row>
    <row r="78" customFormat="false" ht="22.35" hidden="false" customHeight="false" outlineLevel="0" collapsed="false">
      <c r="A78" s="19" t="s">
        <v>3487</v>
      </c>
      <c r="B78" s="19" t="s">
        <v>4626</v>
      </c>
      <c r="C78" s="19" t="n">
        <v>8</v>
      </c>
      <c r="D78" s="19" t="n">
        <f aca="false">COUNTIFS(Responsibilities!$H:$H,A78,Responsibilities!$G:$G,"Algorithm step")</f>
        <v>8</v>
      </c>
      <c r="E78" s="20" t="n">
        <f aca="false">C78-D78</f>
        <v>0</v>
      </c>
      <c r="F78" s="19" t="s">
        <v>4629</v>
      </c>
      <c r="G78" s="19" t="s">
        <v>47</v>
      </c>
      <c r="H78" s="19" t="s">
        <v>47</v>
      </c>
      <c r="I78" s="19" t="s">
        <v>4630</v>
      </c>
      <c r="J78" s="19" t="s">
        <v>51</v>
      </c>
    </row>
    <row r="80" customFormat="false" ht="15" hidden="false" customHeight="false" outlineLevel="0" collapsed="false">
      <c r="A80" s="21" t="s">
        <v>4631</v>
      </c>
    </row>
  </sheetData>
  <autoFilter ref="A1:J1"/>
  <conditionalFormatting sqref="E2:E78">
    <cfRule type="cellIs" priority="2" operator="notEqual"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30"/>
    <col collapsed="false" customWidth="true" hidden="false" outlineLevel="0" max="4" min="4" style="0" width="16"/>
    <col collapsed="false" customWidth="true" hidden="false" outlineLevel="0" max="5" min="5" style="0" width="10"/>
    <col collapsed="false" customWidth="true" hidden="false" outlineLevel="0" max="6" min="6" style="0" width="12"/>
    <col collapsed="false" customWidth="true" hidden="false" outlineLevel="0" max="7" min="7" style="0" width="10"/>
  </cols>
  <sheetData>
    <row r="1" customFormat="false" ht="35.05" hidden="false" customHeight="false" outlineLevel="0" collapsed="false">
      <c r="A1" s="6" t="s">
        <v>1303</v>
      </c>
      <c r="B1" s="6" t="s">
        <v>4632</v>
      </c>
      <c r="C1" s="6" t="s">
        <v>4633</v>
      </c>
      <c r="D1" s="6" t="s">
        <v>1307</v>
      </c>
      <c r="E1" s="6" t="s">
        <v>4634</v>
      </c>
      <c r="F1" s="6" t="s">
        <v>4635</v>
      </c>
      <c r="G1" s="6" t="s">
        <v>4636</v>
      </c>
    </row>
    <row r="2" customFormat="false" ht="22.35" hidden="false" customHeight="false" outlineLevel="0" collapsed="false">
      <c r="A2" s="19" t="s">
        <v>3511</v>
      </c>
      <c r="B2" s="19" t="s">
        <v>3512</v>
      </c>
      <c r="C2" s="19" t="s">
        <v>3514</v>
      </c>
      <c r="D2" s="19" t="s">
        <v>3515</v>
      </c>
      <c r="E2" s="19" t="s">
        <v>403</v>
      </c>
      <c r="F2" s="19" t="n">
        <f aca="false">COUNTIF(Responsibilities!$E:$E,A2)</f>
        <v>1</v>
      </c>
      <c r="G2" s="20" t="str">
        <f aca="false">IF(F2&gt;0,"YES","GAP")</f>
        <v>YES</v>
      </c>
    </row>
    <row r="3" customFormat="false" ht="22.35" hidden="false" customHeight="false" outlineLevel="0" collapsed="false">
      <c r="A3" s="19" t="s">
        <v>3519</v>
      </c>
      <c r="B3" s="19" t="s">
        <v>3520</v>
      </c>
      <c r="C3" s="19" t="s">
        <v>3514</v>
      </c>
      <c r="D3" s="19" t="s">
        <v>3515</v>
      </c>
      <c r="E3" s="19" t="s">
        <v>403</v>
      </c>
      <c r="F3" s="19" t="n">
        <f aca="false">COUNTIF(Responsibilities!$E:$E,A3)</f>
        <v>1</v>
      </c>
      <c r="G3" s="20" t="str">
        <f aca="false">IF(F3&gt;0,"YES","GAP")</f>
        <v>YES</v>
      </c>
    </row>
    <row r="4" customFormat="false" ht="22.35" hidden="false" customHeight="false" outlineLevel="0" collapsed="false">
      <c r="A4" s="19" t="s">
        <v>3522</v>
      </c>
      <c r="B4" s="19" t="s">
        <v>3523</v>
      </c>
      <c r="C4" s="19" t="s">
        <v>3514</v>
      </c>
      <c r="D4" s="19" t="s">
        <v>3515</v>
      </c>
      <c r="E4" s="19" t="s">
        <v>416</v>
      </c>
      <c r="F4" s="19" t="n">
        <f aca="false">COUNTIF(Responsibilities!$E:$E,A4)</f>
        <v>1</v>
      </c>
      <c r="G4" s="20" t="str">
        <f aca="false">IF(F4&gt;0,"YES","GAP")</f>
        <v>YES</v>
      </c>
    </row>
    <row r="5" customFormat="false" ht="22.35" hidden="false" customHeight="false" outlineLevel="0" collapsed="false">
      <c r="A5" s="19" t="s">
        <v>3525</v>
      </c>
      <c r="B5" s="19" t="s">
        <v>3526</v>
      </c>
      <c r="C5" s="19" t="s">
        <v>3514</v>
      </c>
      <c r="D5" s="19" t="s">
        <v>3515</v>
      </c>
      <c r="E5" s="19" t="s">
        <v>416</v>
      </c>
      <c r="F5" s="19" t="n">
        <f aca="false">COUNTIF(Responsibilities!$E:$E,A5)</f>
        <v>1</v>
      </c>
      <c r="G5" s="20" t="str">
        <f aca="false">IF(F5&gt;0,"YES","GAP")</f>
        <v>YES</v>
      </c>
    </row>
    <row r="6" customFormat="false" ht="22.35" hidden="false" customHeight="false" outlineLevel="0" collapsed="false">
      <c r="A6" s="19" t="s">
        <v>3528</v>
      </c>
      <c r="B6" s="19" t="s">
        <v>3529</v>
      </c>
      <c r="C6" s="19" t="s">
        <v>3514</v>
      </c>
      <c r="D6" s="19" t="s">
        <v>3515</v>
      </c>
      <c r="E6" s="19" t="s">
        <v>428</v>
      </c>
      <c r="F6" s="19" t="n">
        <f aca="false">COUNTIF(Responsibilities!$E:$E,A6)</f>
        <v>1</v>
      </c>
      <c r="G6" s="20" t="str">
        <f aca="false">IF(F6&gt;0,"YES","GAP")</f>
        <v>YES</v>
      </c>
    </row>
    <row r="7" customFormat="false" ht="22.35" hidden="false" customHeight="false" outlineLevel="0" collapsed="false">
      <c r="A7" s="19" t="s">
        <v>3531</v>
      </c>
      <c r="B7" s="19" t="s">
        <v>3532</v>
      </c>
      <c r="C7" s="19" t="s">
        <v>3514</v>
      </c>
      <c r="D7" s="19" t="s">
        <v>3515</v>
      </c>
      <c r="E7" s="19" t="s">
        <v>440</v>
      </c>
      <c r="F7" s="19" t="n">
        <f aca="false">COUNTIF(Responsibilities!$E:$E,A7)</f>
        <v>1</v>
      </c>
      <c r="G7" s="20" t="str">
        <f aca="false">IF(F7&gt;0,"YES","GAP")</f>
        <v>YES</v>
      </c>
    </row>
    <row r="8" customFormat="false" ht="22.35" hidden="false" customHeight="false" outlineLevel="0" collapsed="false">
      <c r="A8" s="19" t="s">
        <v>3534</v>
      </c>
      <c r="B8" s="19" t="s">
        <v>3535</v>
      </c>
      <c r="C8" s="19" t="s">
        <v>3536</v>
      </c>
      <c r="D8" s="19" t="s">
        <v>3537</v>
      </c>
      <c r="E8" s="19" t="s">
        <v>388</v>
      </c>
      <c r="F8" s="19" t="n">
        <f aca="false">COUNTIF(Responsibilities!$E:$E,A8)</f>
        <v>1</v>
      </c>
      <c r="G8" s="20" t="str">
        <f aca="false">IF(F8&gt;0,"YES","GAP")</f>
        <v>YES</v>
      </c>
    </row>
    <row r="9" customFormat="false" ht="22.35" hidden="false" customHeight="false" outlineLevel="0" collapsed="false">
      <c r="A9" s="19" t="s">
        <v>3542</v>
      </c>
      <c r="B9" s="19" t="s">
        <v>3543</v>
      </c>
      <c r="C9" s="19" t="s">
        <v>3514</v>
      </c>
      <c r="D9" s="19" t="s">
        <v>3544</v>
      </c>
      <c r="E9" s="19" t="s">
        <v>485</v>
      </c>
      <c r="F9" s="19" t="n">
        <f aca="false">COUNTIF(Responsibilities!$E:$E,A9)</f>
        <v>1</v>
      </c>
      <c r="G9" s="20" t="str">
        <f aca="false">IF(F9&gt;0,"YES","GAP")</f>
        <v>YES</v>
      </c>
    </row>
    <row r="10" customFormat="false" ht="22.35" hidden="false" customHeight="false" outlineLevel="0" collapsed="false">
      <c r="A10" s="19" t="s">
        <v>3546</v>
      </c>
      <c r="B10" s="19" t="s">
        <v>3547</v>
      </c>
      <c r="C10" s="19" t="s">
        <v>3514</v>
      </c>
      <c r="D10" s="19" t="s">
        <v>3544</v>
      </c>
      <c r="E10" s="19" t="s">
        <v>498</v>
      </c>
      <c r="F10" s="19" t="n">
        <f aca="false">COUNTIF(Responsibilities!$E:$E,A10)</f>
        <v>1</v>
      </c>
      <c r="G10" s="20" t="str">
        <f aca="false">IF(F10&gt;0,"YES","GAP")</f>
        <v>YES</v>
      </c>
    </row>
    <row r="11" customFormat="false" ht="22.35" hidden="false" customHeight="false" outlineLevel="0" collapsed="false">
      <c r="A11" s="19" t="s">
        <v>3549</v>
      </c>
      <c r="B11" s="19" t="s">
        <v>3550</v>
      </c>
      <c r="C11" s="19" t="s">
        <v>3514</v>
      </c>
      <c r="D11" s="19" t="s">
        <v>3544</v>
      </c>
      <c r="E11" s="19" t="s">
        <v>510</v>
      </c>
      <c r="F11" s="19" t="n">
        <f aca="false">COUNTIF(Responsibilities!$E:$E,A11)</f>
        <v>1</v>
      </c>
      <c r="G11" s="20" t="str">
        <f aca="false">IF(F11&gt;0,"YES","GAP")</f>
        <v>YES</v>
      </c>
    </row>
    <row r="12" customFormat="false" ht="22.35" hidden="false" customHeight="false" outlineLevel="0" collapsed="false">
      <c r="A12" s="19" t="s">
        <v>3552</v>
      </c>
      <c r="B12" s="19" t="s">
        <v>3553</v>
      </c>
      <c r="C12" s="19" t="s">
        <v>3514</v>
      </c>
      <c r="D12" s="19" t="s">
        <v>3544</v>
      </c>
      <c r="E12" s="19" t="s">
        <v>522</v>
      </c>
      <c r="F12" s="19" t="n">
        <f aca="false">COUNTIF(Responsibilities!$E:$E,A12)</f>
        <v>1</v>
      </c>
      <c r="G12" s="20" t="str">
        <f aca="false">IF(F12&gt;0,"YES","GAP")</f>
        <v>YES</v>
      </c>
    </row>
    <row r="13" customFormat="false" ht="22.35" hidden="false" customHeight="false" outlineLevel="0" collapsed="false">
      <c r="A13" s="19" t="s">
        <v>3555</v>
      </c>
      <c r="B13" s="19" t="s">
        <v>3556</v>
      </c>
      <c r="C13" s="19" t="s">
        <v>3514</v>
      </c>
      <c r="D13" s="19" t="s">
        <v>3544</v>
      </c>
      <c r="E13" s="19" t="s">
        <v>534</v>
      </c>
      <c r="F13" s="19" t="n">
        <f aca="false">COUNTIF(Responsibilities!$E:$E,A13)</f>
        <v>1</v>
      </c>
      <c r="G13" s="20" t="str">
        <f aca="false">IF(F13&gt;0,"YES","GAP")</f>
        <v>YES</v>
      </c>
    </row>
    <row r="14" customFormat="false" ht="22.35" hidden="false" customHeight="false" outlineLevel="0" collapsed="false">
      <c r="A14" s="19" t="s">
        <v>3558</v>
      </c>
      <c r="B14" s="19" t="s">
        <v>3559</v>
      </c>
      <c r="C14" s="19" t="s">
        <v>3536</v>
      </c>
      <c r="D14" s="19" t="s">
        <v>3537</v>
      </c>
      <c r="E14" s="19" t="s">
        <v>476</v>
      </c>
      <c r="F14" s="19" t="n">
        <f aca="false">COUNTIF(Responsibilities!$E:$E,A14)</f>
        <v>1</v>
      </c>
      <c r="G14" s="20" t="str">
        <f aca="false">IF(F14&gt;0,"YES","GAP")</f>
        <v>YES</v>
      </c>
    </row>
    <row r="15" customFormat="false" ht="22.35" hidden="false" customHeight="false" outlineLevel="0" collapsed="false">
      <c r="A15" s="19" t="s">
        <v>3561</v>
      </c>
      <c r="B15" s="19" t="s">
        <v>3562</v>
      </c>
      <c r="C15" s="19" t="s">
        <v>3514</v>
      </c>
      <c r="D15" s="19" t="s">
        <v>3563</v>
      </c>
      <c r="E15" s="19" t="s">
        <v>630</v>
      </c>
      <c r="F15" s="19" t="n">
        <f aca="false">COUNTIF(Responsibilities!$E:$E,A15)</f>
        <v>1</v>
      </c>
      <c r="G15" s="20" t="str">
        <f aca="false">IF(F15&gt;0,"YES","GAP")</f>
        <v>YES</v>
      </c>
    </row>
    <row r="16" customFormat="false" ht="22.35" hidden="false" customHeight="false" outlineLevel="0" collapsed="false">
      <c r="A16" s="19" t="s">
        <v>3565</v>
      </c>
      <c r="B16" s="19" t="s">
        <v>3566</v>
      </c>
      <c r="C16" s="19" t="s">
        <v>3514</v>
      </c>
      <c r="D16" s="19" t="s">
        <v>3563</v>
      </c>
      <c r="E16" s="19" t="s">
        <v>587</v>
      </c>
      <c r="F16" s="19" t="n">
        <f aca="false">COUNTIF(Responsibilities!$E:$E,A16)</f>
        <v>1</v>
      </c>
      <c r="G16" s="20" t="str">
        <f aca="false">IF(F16&gt;0,"YES","GAP")</f>
        <v>YES</v>
      </c>
    </row>
    <row r="17" customFormat="false" ht="22.35" hidden="false" customHeight="false" outlineLevel="0" collapsed="false">
      <c r="A17" s="19" t="s">
        <v>3568</v>
      </c>
      <c r="B17" s="19" t="s">
        <v>3569</v>
      </c>
      <c r="C17" s="19" t="s">
        <v>3514</v>
      </c>
      <c r="D17" s="19" t="s">
        <v>3563</v>
      </c>
      <c r="E17" s="19" t="s">
        <v>603</v>
      </c>
      <c r="F17" s="19" t="n">
        <f aca="false">COUNTIF(Responsibilities!$E:$E,A17)</f>
        <v>1</v>
      </c>
      <c r="G17" s="20" t="str">
        <f aca="false">IF(F17&gt;0,"YES","GAP")</f>
        <v>YES</v>
      </c>
    </row>
    <row r="18" customFormat="false" ht="22.35" hidden="false" customHeight="false" outlineLevel="0" collapsed="false">
      <c r="A18" s="19" t="s">
        <v>3571</v>
      </c>
      <c r="B18" s="19" t="s">
        <v>3572</v>
      </c>
      <c r="C18" s="19" t="s">
        <v>3514</v>
      </c>
      <c r="D18" s="19" t="s">
        <v>3563</v>
      </c>
      <c r="E18" s="19" t="s">
        <v>557</v>
      </c>
      <c r="F18" s="19" t="n">
        <f aca="false">COUNTIF(Responsibilities!$E:$E,A18)</f>
        <v>1</v>
      </c>
      <c r="G18" s="20" t="str">
        <f aca="false">IF(F18&gt;0,"YES","GAP")</f>
        <v>YES</v>
      </c>
    </row>
    <row r="19" customFormat="false" ht="22.35" hidden="false" customHeight="false" outlineLevel="0" collapsed="false">
      <c r="A19" s="19" t="s">
        <v>3574</v>
      </c>
      <c r="B19" s="19" t="s">
        <v>3575</v>
      </c>
      <c r="C19" s="19" t="s">
        <v>3514</v>
      </c>
      <c r="D19" s="19" t="s">
        <v>3563</v>
      </c>
      <c r="E19" s="19" t="s">
        <v>557</v>
      </c>
      <c r="F19" s="19" t="n">
        <f aca="false">COUNTIF(Responsibilities!$E:$E,A19)</f>
        <v>1</v>
      </c>
      <c r="G19" s="20" t="str">
        <f aca="false">IF(F19&gt;0,"YES","GAP")</f>
        <v>YES</v>
      </c>
    </row>
    <row r="20" customFormat="false" ht="22.35" hidden="false" customHeight="false" outlineLevel="0" collapsed="false">
      <c r="A20" s="19" t="s">
        <v>3577</v>
      </c>
      <c r="B20" s="19" t="s">
        <v>3578</v>
      </c>
      <c r="C20" s="19" t="s">
        <v>3536</v>
      </c>
      <c r="D20" s="19" t="s">
        <v>3537</v>
      </c>
      <c r="E20" s="19" t="s">
        <v>557</v>
      </c>
      <c r="F20" s="19" t="n">
        <f aca="false">COUNTIF(Responsibilities!$E:$E,A20)</f>
        <v>1</v>
      </c>
      <c r="G20" s="20" t="str">
        <f aca="false">IF(F20&gt;0,"YES","GAP")</f>
        <v>YES</v>
      </c>
    </row>
    <row r="21" customFormat="false" ht="22.35" hidden="false" customHeight="false" outlineLevel="0" collapsed="false">
      <c r="A21" s="19" t="s">
        <v>3580</v>
      </c>
      <c r="B21" s="19" t="s">
        <v>3581</v>
      </c>
      <c r="C21" s="19" t="s">
        <v>3514</v>
      </c>
      <c r="D21" s="19" t="s">
        <v>715</v>
      </c>
      <c r="E21" s="19" t="s">
        <v>705</v>
      </c>
      <c r="F21" s="19" t="n">
        <f aca="false">COUNTIF(Responsibilities!$E:$E,A21)</f>
        <v>1</v>
      </c>
      <c r="G21" s="20" t="str">
        <f aca="false">IF(F21&gt;0,"YES","GAP")</f>
        <v>YES</v>
      </c>
    </row>
    <row r="22" customFormat="false" ht="22.35" hidden="false" customHeight="false" outlineLevel="0" collapsed="false">
      <c r="A22" s="19" t="s">
        <v>3583</v>
      </c>
      <c r="B22" s="19" t="s">
        <v>3584</v>
      </c>
      <c r="C22" s="19" t="s">
        <v>3514</v>
      </c>
      <c r="D22" s="19" t="s">
        <v>715</v>
      </c>
      <c r="E22" s="19" t="s">
        <v>705</v>
      </c>
      <c r="F22" s="19" t="n">
        <f aca="false">COUNTIF(Responsibilities!$E:$E,A22)</f>
        <v>1</v>
      </c>
      <c r="G22" s="20" t="str">
        <f aca="false">IF(F22&gt;0,"YES","GAP")</f>
        <v>YES</v>
      </c>
    </row>
    <row r="23" customFormat="false" ht="22.35" hidden="false" customHeight="false" outlineLevel="0" collapsed="false">
      <c r="A23" s="19" t="s">
        <v>3586</v>
      </c>
      <c r="B23" s="19" t="s">
        <v>3587</v>
      </c>
      <c r="C23" s="19" t="s">
        <v>3514</v>
      </c>
      <c r="D23" s="19" t="s">
        <v>715</v>
      </c>
      <c r="E23" s="19" t="s">
        <v>716</v>
      </c>
      <c r="F23" s="19" t="n">
        <f aca="false">COUNTIF(Responsibilities!$E:$E,A23)</f>
        <v>1</v>
      </c>
      <c r="G23" s="20" t="str">
        <f aca="false">IF(F23&gt;0,"YES","GAP")</f>
        <v>YES</v>
      </c>
    </row>
    <row r="24" customFormat="false" ht="22.35" hidden="false" customHeight="false" outlineLevel="0" collapsed="false">
      <c r="A24" s="19" t="s">
        <v>3589</v>
      </c>
      <c r="B24" s="19" t="s">
        <v>3590</v>
      </c>
      <c r="C24" s="19" t="s">
        <v>3514</v>
      </c>
      <c r="D24" s="19" t="s">
        <v>715</v>
      </c>
      <c r="E24" s="19" t="s">
        <v>728</v>
      </c>
      <c r="F24" s="19" t="n">
        <f aca="false">COUNTIF(Responsibilities!$E:$E,A24)</f>
        <v>1</v>
      </c>
      <c r="G24" s="20" t="str">
        <f aca="false">IF(F24&gt;0,"YES","GAP")</f>
        <v>YES</v>
      </c>
    </row>
    <row r="25" customFormat="false" ht="22.35" hidden="false" customHeight="false" outlineLevel="0" collapsed="false">
      <c r="A25" s="19" t="s">
        <v>3592</v>
      </c>
      <c r="B25" s="19" t="s">
        <v>3593</v>
      </c>
      <c r="C25" s="19" t="s">
        <v>3536</v>
      </c>
      <c r="D25" s="19" t="s">
        <v>3537</v>
      </c>
      <c r="E25" s="19" t="s">
        <v>696</v>
      </c>
      <c r="F25" s="19" t="n">
        <f aca="false">COUNTIF(Responsibilities!$E:$E,A25)</f>
        <v>1</v>
      </c>
      <c r="G25" s="20" t="str">
        <f aca="false">IF(F25&gt;0,"YES","GAP")</f>
        <v>YES</v>
      </c>
    </row>
    <row r="26" customFormat="false" ht="22.35" hidden="false" customHeight="false" outlineLevel="0" collapsed="false">
      <c r="A26" s="19" t="s">
        <v>3595</v>
      </c>
      <c r="B26" s="19" t="s">
        <v>3596</v>
      </c>
      <c r="C26" s="19" t="s">
        <v>3514</v>
      </c>
      <c r="D26" s="19" t="s">
        <v>796</v>
      </c>
      <c r="E26" s="19" t="s">
        <v>773</v>
      </c>
      <c r="F26" s="19" t="n">
        <f aca="false">COUNTIF(Responsibilities!$E:$E,A26)</f>
        <v>1</v>
      </c>
      <c r="G26" s="20" t="str">
        <f aca="false">IF(F26&gt;0,"YES","GAP")</f>
        <v>YES</v>
      </c>
    </row>
    <row r="27" customFormat="false" ht="22.35" hidden="false" customHeight="false" outlineLevel="0" collapsed="false">
      <c r="A27" s="19" t="s">
        <v>3598</v>
      </c>
      <c r="B27" s="19" t="s">
        <v>3599</v>
      </c>
      <c r="C27" s="19" t="s">
        <v>3514</v>
      </c>
      <c r="D27" s="19" t="s">
        <v>796</v>
      </c>
      <c r="E27" s="19" t="s">
        <v>785</v>
      </c>
      <c r="F27" s="19" t="n">
        <f aca="false">COUNTIF(Responsibilities!$E:$E,A27)</f>
        <v>1</v>
      </c>
      <c r="G27" s="20" t="str">
        <f aca="false">IF(F27&gt;0,"YES","GAP")</f>
        <v>YES</v>
      </c>
    </row>
    <row r="28" customFormat="false" ht="22.35" hidden="false" customHeight="false" outlineLevel="0" collapsed="false">
      <c r="A28" s="19" t="s">
        <v>3601</v>
      </c>
      <c r="B28" s="19" t="s">
        <v>3602</v>
      </c>
      <c r="C28" s="19" t="s">
        <v>3514</v>
      </c>
      <c r="D28" s="19" t="s">
        <v>796</v>
      </c>
      <c r="E28" s="19" t="s">
        <v>797</v>
      </c>
      <c r="F28" s="19" t="n">
        <f aca="false">COUNTIF(Responsibilities!$E:$E,A28)</f>
        <v>1</v>
      </c>
      <c r="G28" s="20" t="str">
        <f aca="false">IF(F28&gt;0,"YES","GAP")</f>
        <v>YES</v>
      </c>
    </row>
    <row r="29" customFormat="false" ht="22.35" hidden="false" customHeight="false" outlineLevel="0" collapsed="false">
      <c r="A29" s="19" t="s">
        <v>3604</v>
      </c>
      <c r="B29" s="19" t="s">
        <v>3605</v>
      </c>
      <c r="C29" s="19" t="s">
        <v>3514</v>
      </c>
      <c r="D29" s="19" t="s">
        <v>796</v>
      </c>
      <c r="E29" s="19" t="s">
        <v>807</v>
      </c>
      <c r="F29" s="19" t="n">
        <f aca="false">COUNTIF(Responsibilities!$E:$E,A29)</f>
        <v>1</v>
      </c>
      <c r="G29" s="20" t="str">
        <f aca="false">IF(F29&gt;0,"YES","GAP")</f>
        <v>YES</v>
      </c>
    </row>
    <row r="30" customFormat="false" ht="22.35" hidden="false" customHeight="false" outlineLevel="0" collapsed="false">
      <c r="A30" s="19" t="s">
        <v>3607</v>
      </c>
      <c r="B30" s="19" t="s">
        <v>3608</v>
      </c>
      <c r="C30" s="19" t="s">
        <v>3514</v>
      </c>
      <c r="D30" s="19" t="s">
        <v>796</v>
      </c>
      <c r="E30" s="19" t="s">
        <v>817</v>
      </c>
      <c r="F30" s="19" t="n">
        <f aca="false">COUNTIF(Responsibilities!$E:$E,A30)</f>
        <v>1</v>
      </c>
      <c r="G30" s="20" t="str">
        <f aca="false">IF(F30&gt;0,"YES","GAP")</f>
        <v>YES</v>
      </c>
    </row>
    <row r="31" customFormat="false" ht="22.35" hidden="false" customHeight="false" outlineLevel="0" collapsed="false">
      <c r="A31" s="19" t="s">
        <v>3610</v>
      </c>
      <c r="B31" s="19" t="s">
        <v>3611</v>
      </c>
      <c r="C31" s="19" t="s">
        <v>3514</v>
      </c>
      <c r="D31" s="19" t="s">
        <v>796</v>
      </c>
      <c r="E31" s="19" t="s">
        <v>828</v>
      </c>
      <c r="F31" s="19" t="n">
        <f aca="false">COUNTIF(Responsibilities!$E:$E,A31)</f>
        <v>1</v>
      </c>
      <c r="G31" s="20" t="str">
        <f aca="false">IF(F31&gt;0,"YES","GAP")</f>
        <v>YES</v>
      </c>
    </row>
    <row r="32" customFormat="false" ht="22.35" hidden="false" customHeight="false" outlineLevel="0" collapsed="false">
      <c r="A32" s="19" t="s">
        <v>3613</v>
      </c>
      <c r="B32" s="19" t="s">
        <v>3614</v>
      </c>
      <c r="C32" s="19" t="s">
        <v>3536</v>
      </c>
      <c r="D32" s="19" t="s">
        <v>3537</v>
      </c>
      <c r="E32" s="19" t="s">
        <v>764</v>
      </c>
      <c r="F32" s="19" t="n">
        <f aca="false">COUNTIF(Responsibilities!$E:$E,A32)</f>
        <v>1</v>
      </c>
      <c r="G32" s="20" t="str">
        <f aca="false">IF(F32&gt;0,"YES","GAP")</f>
        <v>YES</v>
      </c>
    </row>
    <row r="33" customFormat="false" ht="22.35" hidden="false" customHeight="false" outlineLevel="0" collapsed="false">
      <c r="A33" s="19" t="s">
        <v>3616</v>
      </c>
      <c r="B33" s="19" t="s">
        <v>3617</v>
      </c>
      <c r="C33" s="19" t="s">
        <v>3514</v>
      </c>
      <c r="D33" s="19" t="s">
        <v>928</v>
      </c>
      <c r="E33" s="19" t="s">
        <v>859</v>
      </c>
      <c r="F33" s="19" t="n">
        <f aca="false">COUNTIF(Responsibilities!$E:$E,A33)</f>
        <v>1</v>
      </c>
      <c r="G33" s="20" t="str">
        <f aca="false">IF(F33&gt;0,"YES","GAP")</f>
        <v>YES</v>
      </c>
    </row>
    <row r="34" customFormat="false" ht="22.35" hidden="false" customHeight="false" outlineLevel="0" collapsed="false">
      <c r="A34" s="19" t="s">
        <v>3619</v>
      </c>
      <c r="B34" s="19" t="s">
        <v>3620</v>
      </c>
      <c r="C34" s="19" t="s">
        <v>3514</v>
      </c>
      <c r="D34" s="19" t="s">
        <v>928</v>
      </c>
      <c r="E34" s="19" t="s">
        <v>883</v>
      </c>
      <c r="F34" s="19" t="n">
        <f aca="false">COUNTIF(Responsibilities!$E:$E,A34)</f>
        <v>1</v>
      </c>
      <c r="G34" s="20" t="str">
        <f aca="false">IF(F34&gt;0,"YES","GAP")</f>
        <v>YES</v>
      </c>
    </row>
    <row r="35" customFormat="false" ht="22.35" hidden="false" customHeight="false" outlineLevel="0" collapsed="false">
      <c r="A35" s="19" t="s">
        <v>3622</v>
      </c>
      <c r="B35" s="19" t="s">
        <v>3623</v>
      </c>
      <c r="C35" s="19" t="s">
        <v>3514</v>
      </c>
      <c r="D35" s="19" t="s">
        <v>928</v>
      </c>
      <c r="E35" s="19" t="s">
        <v>894</v>
      </c>
      <c r="F35" s="19" t="n">
        <f aca="false">COUNTIF(Responsibilities!$E:$E,A35)</f>
        <v>1</v>
      </c>
      <c r="G35" s="20" t="str">
        <f aca="false">IF(F35&gt;0,"YES","GAP")</f>
        <v>YES</v>
      </c>
    </row>
    <row r="36" customFormat="false" ht="22.35" hidden="false" customHeight="false" outlineLevel="0" collapsed="false">
      <c r="A36" s="19" t="s">
        <v>3625</v>
      </c>
      <c r="B36" s="19" t="s">
        <v>3626</v>
      </c>
      <c r="C36" s="19" t="s">
        <v>3514</v>
      </c>
      <c r="D36" s="19" t="s">
        <v>928</v>
      </c>
      <c r="E36" s="19" t="s">
        <v>906</v>
      </c>
      <c r="F36" s="19" t="n">
        <f aca="false">COUNTIF(Responsibilities!$E:$E,A36)</f>
        <v>1</v>
      </c>
      <c r="G36" s="20" t="str">
        <f aca="false">IF(F36&gt;0,"YES","GAP")</f>
        <v>YES</v>
      </c>
    </row>
    <row r="37" customFormat="false" ht="22.35" hidden="false" customHeight="false" outlineLevel="0" collapsed="false">
      <c r="A37" s="19" t="s">
        <v>3628</v>
      </c>
      <c r="B37" s="19" t="s">
        <v>3629</v>
      </c>
      <c r="C37" s="19" t="s">
        <v>3514</v>
      </c>
      <c r="D37" s="19" t="s">
        <v>928</v>
      </c>
      <c r="E37" s="19" t="s">
        <v>871</v>
      </c>
      <c r="F37" s="19" t="n">
        <f aca="false">COUNTIF(Responsibilities!$E:$E,A37)</f>
        <v>1</v>
      </c>
      <c r="G37" s="20" t="str">
        <f aca="false">IF(F37&gt;0,"YES","GAP")</f>
        <v>YES</v>
      </c>
    </row>
    <row r="38" customFormat="false" ht="22.35" hidden="false" customHeight="false" outlineLevel="0" collapsed="false">
      <c r="A38" s="19" t="s">
        <v>3631</v>
      </c>
      <c r="B38" s="19" t="s">
        <v>3632</v>
      </c>
      <c r="C38" s="19" t="s">
        <v>3514</v>
      </c>
      <c r="D38" s="19" t="s">
        <v>928</v>
      </c>
      <c r="E38" s="19" t="s">
        <v>917</v>
      </c>
      <c r="F38" s="19" t="n">
        <f aca="false">COUNTIF(Responsibilities!$E:$E,A38)</f>
        <v>1</v>
      </c>
      <c r="G38" s="20" t="str">
        <f aca="false">IF(F38&gt;0,"YES","GAP")</f>
        <v>YES</v>
      </c>
    </row>
    <row r="39" customFormat="false" ht="22.35" hidden="false" customHeight="false" outlineLevel="0" collapsed="false">
      <c r="A39" s="19" t="s">
        <v>3634</v>
      </c>
      <c r="B39" s="19" t="s">
        <v>3635</v>
      </c>
      <c r="C39" s="19" t="s">
        <v>3536</v>
      </c>
      <c r="D39" s="19" t="s">
        <v>3537</v>
      </c>
      <c r="E39" s="19" t="s">
        <v>851</v>
      </c>
      <c r="F39" s="19" t="n">
        <f aca="false">COUNTIF(Responsibilities!$E:$E,A39)</f>
        <v>1</v>
      </c>
      <c r="G39" s="20" t="str">
        <f aca="false">IF(F39&gt;0,"YES","GAP")</f>
        <v>YES</v>
      </c>
    </row>
    <row r="40" customFormat="false" ht="22.35" hidden="false" customHeight="false" outlineLevel="0" collapsed="false">
      <c r="A40" s="19" t="s">
        <v>3637</v>
      </c>
      <c r="B40" s="19" t="s">
        <v>3638</v>
      </c>
      <c r="C40" s="19" t="s">
        <v>3514</v>
      </c>
      <c r="D40" s="19" t="s">
        <v>1053</v>
      </c>
      <c r="E40" s="19" t="s">
        <v>984</v>
      </c>
      <c r="F40" s="19" t="n">
        <f aca="false">COUNTIF(Responsibilities!$E:$E,A40)</f>
        <v>1</v>
      </c>
      <c r="G40" s="20" t="str">
        <f aca="false">IF(F40&gt;0,"YES","GAP")</f>
        <v>YES</v>
      </c>
    </row>
    <row r="41" customFormat="false" ht="22.35" hidden="false" customHeight="false" outlineLevel="0" collapsed="false">
      <c r="A41" s="19" t="s">
        <v>3640</v>
      </c>
      <c r="B41" s="19" t="s">
        <v>3641</v>
      </c>
      <c r="C41" s="19" t="s">
        <v>3514</v>
      </c>
      <c r="D41" s="19" t="s">
        <v>1053</v>
      </c>
      <c r="E41" s="19" t="s">
        <v>997</v>
      </c>
      <c r="F41" s="19" t="n">
        <f aca="false">COUNTIF(Responsibilities!$E:$E,A41)</f>
        <v>1</v>
      </c>
      <c r="G41" s="20" t="str">
        <f aca="false">IF(F41&gt;0,"YES","GAP")</f>
        <v>YES</v>
      </c>
    </row>
    <row r="42" customFormat="false" ht="22.35" hidden="false" customHeight="false" outlineLevel="0" collapsed="false">
      <c r="A42" s="19" t="s">
        <v>3643</v>
      </c>
      <c r="B42" s="19" t="s">
        <v>3644</v>
      </c>
      <c r="C42" s="19" t="s">
        <v>3514</v>
      </c>
      <c r="D42" s="19" t="s">
        <v>1053</v>
      </c>
      <c r="E42" s="19" t="s">
        <v>1008</v>
      </c>
      <c r="F42" s="19" t="n">
        <f aca="false">COUNTIF(Responsibilities!$E:$E,A42)</f>
        <v>1</v>
      </c>
      <c r="G42" s="20" t="str">
        <f aca="false">IF(F42&gt;0,"YES","GAP")</f>
        <v>YES</v>
      </c>
    </row>
    <row r="43" customFormat="false" ht="22.35" hidden="false" customHeight="false" outlineLevel="0" collapsed="false">
      <c r="A43" s="19" t="s">
        <v>3646</v>
      </c>
      <c r="B43" s="19" t="s">
        <v>3647</v>
      </c>
      <c r="C43" s="19" t="s">
        <v>3514</v>
      </c>
      <c r="D43" s="19" t="s">
        <v>1053</v>
      </c>
      <c r="E43" s="19" t="s">
        <v>1019</v>
      </c>
      <c r="F43" s="19" t="n">
        <f aca="false">COUNTIF(Responsibilities!$E:$E,A43)</f>
        <v>1</v>
      </c>
      <c r="G43" s="20" t="str">
        <f aca="false">IF(F43&gt;0,"YES","GAP")</f>
        <v>YES</v>
      </c>
    </row>
    <row r="44" customFormat="false" ht="22.35" hidden="false" customHeight="false" outlineLevel="0" collapsed="false">
      <c r="A44" s="19" t="s">
        <v>3649</v>
      </c>
      <c r="B44" s="19" t="s">
        <v>3650</v>
      </c>
      <c r="C44" s="19" t="s">
        <v>3514</v>
      </c>
      <c r="D44" s="19" t="s">
        <v>1053</v>
      </c>
      <c r="E44" s="19" t="s">
        <v>1030</v>
      </c>
      <c r="F44" s="19" t="n">
        <f aca="false">COUNTIF(Responsibilities!$E:$E,A44)</f>
        <v>1</v>
      </c>
      <c r="G44" s="20" t="str">
        <f aca="false">IF(F44&gt;0,"YES","GAP")</f>
        <v>YES</v>
      </c>
    </row>
    <row r="45" customFormat="false" ht="22.35" hidden="false" customHeight="false" outlineLevel="0" collapsed="false">
      <c r="A45" s="19" t="s">
        <v>3652</v>
      </c>
      <c r="B45" s="19" t="s">
        <v>3653</v>
      </c>
      <c r="C45" s="19" t="s">
        <v>3514</v>
      </c>
      <c r="D45" s="19" t="s">
        <v>1053</v>
      </c>
      <c r="E45" s="19" t="s">
        <v>1042</v>
      </c>
      <c r="F45" s="19" t="n">
        <f aca="false">COUNTIF(Responsibilities!$E:$E,A45)</f>
        <v>1</v>
      </c>
      <c r="G45" s="20" t="str">
        <f aca="false">IF(F45&gt;0,"YES","GAP")</f>
        <v>YES</v>
      </c>
    </row>
    <row r="46" customFormat="false" ht="22.35" hidden="false" customHeight="false" outlineLevel="0" collapsed="false">
      <c r="A46" s="19" t="s">
        <v>3655</v>
      </c>
      <c r="B46" s="19" t="s">
        <v>3656</v>
      </c>
      <c r="C46" s="19" t="s">
        <v>3536</v>
      </c>
      <c r="D46" s="19" t="s">
        <v>3537</v>
      </c>
      <c r="E46" s="19" t="s">
        <v>976</v>
      </c>
      <c r="F46" s="19" t="n">
        <f aca="false">COUNTIF(Responsibilities!$E:$E,A46)</f>
        <v>1</v>
      </c>
      <c r="G46" s="20" t="str">
        <f aca="false">IF(F46&gt;0,"YES","GAP")</f>
        <v>YES</v>
      </c>
    </row>
    <row r="47" customFormat="false" ht="22.35" hidden="false" customHeight="false" outlineLevel="0" collapsed="false">
      <c r="A47" s="19" t="s">
        <v>3658</v>
      </c>
      <c r="B47" s="19" t="s">
        <v>3659</v>
      </c>
      <c r="C47" s="19" t="s">
        <v>3514</v>
      </c>
      <c r="D47" s="19" t="s">
        <v>1156</v>
      </c>
      <c r="E47" s="19" t="s">
        <v>1082</v>
      </c>
      <c r="F47" s="19" t="n">
        <f aca="false">COUNTIF(Responsibilities!$E:$E,A47)</f>
        <v>1</v>
      </c>
      <c r="G47" s="20" t="str">
        <f aca="false">IF(F47&gt;0,"YES","GAP")</f>
        <v>YES</v>
      </c>
    </row>
    <row r="48" customFormat="false" ht="22.35" hidden="false" customHeight="false" outlineLevel="0" collapsed="false">
      <c r="A48" s="19" t="s">
        <v>3661</v>
      </c>
      <c r="B48" s="19" t="s">
        <v>3662</v>
      </c>
      <c r="C48" s="19" t="s">
        <v>3514</v>
      </c>
      <c r="D48" s="19" t="s">
        <v>1156</v>
      </c>
      <c r="E48" s="19" t="s">
        <v>1123</v>
      </c>
      <c r="F48" s="19" t="n">
        <f aca="false">COUNTIF(Responsibilities!$E:$E,A48)</f>
        <v>1</v>
      </c>
      <c r="G48" s="20" t="str">
        <f aca="false">IF(F48&gt;0,"YES","GAP")</f>
        <v>YES</v>
      </c>
    </row>
    <row r="49" customFormat="false" ht="22.35" hidden="false" customHeight="false" outlineLevel="0" collapsed="false">
      <c r="A49" s="19" t="s">
        <v>3664</v>
      </c>
      <c r="B49" s="19" t="s">
        <v>3665</v>
      </c>
      <c r="C49" s="19" t="s">
        <v>3514</v>
      </c>
      <c r="D49" s="19" t="s">
        <v>1156</v>
      </c>
      <c r="E49" s="19" t="s">
        <v>1112</v>
      </c>
      <c r="F49" s="19" t="n">
        <f aca="false">COUNTIF(Responsibilities!$E:$E,A49)</f>
        <v>1</v>
      </c>
      <c r="G49" s="20" t="str">
        <f aca="false">IF(F49&gt;0,"YES","GAP")</f>
        <v>YES</v>
      </c>
    </row>
    <row r="50" customFormat="false" ht="22.35" hidden="false" customHeight="false" outlineLevel="0" collapsed="false">
      <c r="A50" s="19" t="s">
        <v>3667</v>
      </c>
      <c r="B50" s="19" t="s">
        <v>3668</v>
      </c>
      <c r="C50" s="19" t="s">
        <v>3514</v>
      </c>
      <c r="D50" s="19" t="s">
        <v>1156</v>
      </c>
      <c r="E50" s="19" t="s">
        <v>1146</v>
      </c>
      <c r="F50" s="19" t="n">
        <f aca="false">COUNTIF(Responsibilities!$E:$E,A50)</f>
        <v>1</v>
      </c>
      <c r="G50" s="20" t="str">
        <f aca="false">IF(F50&gt;0,"YES","GAP")</f>
        <v>YES</v>
      </c>
    </row>
    <row r="51" customFormat="false" ht="22.35" hidden="false" customHeight="false" outlineLevel="0" collapsed="false">
      <c r="A51" s="19" t="s">
        <v>3670</v>
      </c>
      <c r="B51" s="19" t="s">
        <v>3671</v>
      </c>
      <c r="C51" s="19" t="s">
        <v>3514</v>
      </c>
      <c r="D51" s="19" t="s">
        <v>1156</v>
      </c>
      <c r="E51" s="19" t="s">
        <v>1157</v>
      </c>
      <c r="F51" s="19" t="n">
        <f aca="false">COUNTIF(Responsibilities!$E:$E,A51)</f>
        <v>1</v>
      </c>
      <c r="G51" s="20" t="str">
        <f aca="false">IF(F51&gt;0,"YES","GAP")</f>
        <v>YES</v>
      </c>
    </row>
    <row r="52" customFormat="false" ht="22.35" hidden="false" customHeight="false" outlineLevel="0" collapsed="false">
      <c r="A52" s="19" t="s">
        <v>3673</v>
      </c>
      <c r="B52" s="19" t="s">
        <v>3674</v>
      </c>
      <c r="C52" s="19" t="s">
        <v>3514</v>
      </c>
      <c r="D52" s="19" t="s">
        <v>1156</v>
      </c>
      <c r="E52" s="19" t="s">
        <v>1169</v>
      </c>
      <c r="F52" s="19" t="n">
        <f aca="false">COUNTIF(Responsibilities!$E:$E,A52)</f>
        <v>1</v>
      </c>
      <c r="G52" s="20" t="str">
        <f aca="false">IF(F52&gt;0,"YES","GAP")</f>
        <v>YES</v>
      </c>
    </row>
    <row r="53" customFormat="false" ht="22.35" hidden="false" customHeight="false" outlineLevel="0" collapsed="false">
      <c r="A53" s="19" t="s">
        <v>3676</v>
      </c>
      <c r="B53" s="19" t="s">
        <v>3677</v>
      </c>
      <c r="C53" s="19" t="s">
        <v>3536</v>
      </c>
      <c r="D53" s="19" t="s">
        <v>3537</v>
      </c>
      <c r="E53" s="19" t="s">
        <v>1074</v>
      </c>
      <c r="F53" s="19" t="n">
        <f aca="false">COUNTIF(Responsibilities!$E:$E,A53)</f>
        <v>1</v>
      </c>
      <c r="G53" s="20" t="str">
        <f aca="false">IF(F53&gt;0,"YES","GAP")</f>
        <v>YES</v>
      </c>
    </row>
    <row r="54" customFormat="false" ht="22.35" hidden="false" customHeight="false" outlineLevel="0" collapsed="false">
      <c r="A54" s="19" t="s">
        <v>3679</v>
      </c>
      <c r="B54" s="19" t="s">
        <v>3680</v>
      </c>
      <c r="C54" s="19" t="s">
        <v>3514</v>
      </c>
      <c r="D54" s="19" t="s">
        <v>3681</v>
      </c>
      <c r="E54" s="19" t="s">
        <v>1210</v>
      </c>
      <c r="F54" s="19" t="n">
        <f aca="false">COUNTIF(Responsibilities!$E:$E,A54)</f>
        <v>1</v>
      </c>
      <c r="G54" s="20" t="str">
        <f aca="false">IF(F54&gt;0,"YES","GAP")</f>
        <v>YES</v>
      </c>
    </row>
    <row r="55" customFormat="false" ht="22.35" hidden="false" customHeight="false" outlineLevel="0" collapsed="false">
      <c r="A55" s="19" t="s">
        <v>3683</v>
      </c>
      <c r="B55" s="19" t="s">
        <v>3684</v>
      </c>
      <c r="C55" s="19" t="s">
        <v>3514</v>
      </c>
      <c r="D55" s="19" t="s">
        <v>3681</v>
      </c>
      <c r="E55" s="19" t="s">
        <v>1222</v>
      </c>
      <c r="F55" s="19" t="n">
        <f aca="false">COUNTIF(Responsibilities!$E:$E,A55)</f>
        <v>1</v>
      </c>
      <c r="G55" s="20" t="str">
        <f aca="false">IF(F55&gt;0,"YES","GAP")</f>
        <v>YES</v>
      </c>
    </row>
    <row r="56" customFormat="false" ht="22.35" hidden="false" customHeight="false" outlineLevel="0" collapsed="false">
      <c r="A56" s="19" t="s">
        <v>3686</v>
      </c>
      <c r="B56" s="19" t="s">
        <v>3687</v>
      </c>
      <c r="C56" s="19" t="s">
        <v>3514</v>
      </c>
      <c r="D56" s="19" t="s">
        <v>3681</v>
      </c>
      <c r="E56" s="19" t="s">
        <v>1233</v>
      </c>
      <c r="F56" s="19" t="n">
        <f aca="false">COUNTIF(Responsibilities!$E:$E,A56)</f>
        <v>1</v>
      </c>
      <c r="G56" s="20" t="str">
        <f aca="false">IF(F56&gt;0,"YES","GAP")</f>
        <v>YES</v>
      </c>
    </row>
    <row r="57" customFormat="false" ht="22.35" hidden="false" customHeight="false" outlineLevel="0" collapsed="false">
      <c r="A57" s="19" t="s">
        <v>3689</v>
      </c>
      <c r="B57" s="19" t="s">
        <v>3690</v>
      </c>
      <c r="C57" s="19" t="s">
        <v>3514</v>
      </c>
      <c r="D57" s="19" t="s">
        <v>3681</v>
      </c>
      <c r="E57" s="19" t="s">
        <v>1244</v>
      </c>
      <c r="F57" s="19" t="n">
        <f aca="false">COUNTIF(Responsibilities!$E:$E,A57)</f>
        <v>1</v>
      </c>
      <c r="G57" s="20" t="str">
        <f aca="false">IF(F57&gt;0,"YES","GAP")</f>
        <v>YES</v>
      </c>
    </row>
    <row r="58" customFormat="false" ht="22.35" hidden="false" customHeight="false" outlineLevel="0" collapsed="false">
      <c r="A58" s="19" t="s">
        <v>3692</v>
      </c>
      <c r="B58" s="19" t="s">
        <v>3693</v>
      </c>
      <c r="C58" s="19" t="s">
        <v>3514</v>
      </c>
      <c r="D58" s="19" t="s">
        <v>3681</v>
      </c>
      <c r="E58" s="19" t="s">
        <v>1256</v>
      </c>
      <c r="F58" s="19" t="n">
        <f aca="false">COUNTIF(Responsibilities!$E:$E,A58)</f>
        <v>1</v>
      </c>
      <c r="G58" s="20" t="str">
        <f aca="false">IF(F58&gt;0,"YES","GAP")</f>
        <v>YES</v>
      </c>
    </row>
    <row r="59" customFormat="false" ht="22.35" hidden="false" customHeight="false" outlineLevel="0" collapsed="false">
      <c r="A59" s="19" t="s">
        <v>3695</v>
      </c>
      <c r="B59" s="19" t="s">
        <v>3696</v>
      </c>
      <c r="C59" s="19" t="s">
        <v>3536</v>
      </c>
      <c r="D59" s="19" t="s">
        <v>3537</v>
      </c>
      <c r="E59" s="19" t="s">
        <v>1202</v>
      </c>
      <c r="F59" s="19" t="n">
        <f aca="false">COUNTIF(Responsibilities!$E:$E,A59)</f>
        <v>1</v>
      </c>
      <c r="G59" s="20" t="str">
        <f aca="false">IF(F59&gt;0,"YES","GAP")</f>
        <v>YES</v>
      </c>
    </row>
    <row r="60" customFormat="false" ht="22.35" hidden="false" customHeight="false" outlineLevel="0" collapsed="false">
      <c r="A60" s="19" t="s">
        <v>3698</v>
      </c>
      <c r="B60" s="19" t="s">
        <v>4637</v>
      </c>
      <c r="C60" s="19" t="s">
        <v>3700</v>
      </c>
      <c r="D60" s="19" t="s">
        <v>3701</v>
      </c>
      <c r="E60" s="19" t="s">
        <v>174</v>
      </c>
      <c r="F60" s="19" t="n">
        <f aca="false">COUNTIF(Responsibilities!$E:$E,A60)</f>
        <v>1</v>
      </c>
      <c r="G60" s="20" t="str">
        <f aca="false">IF(F60&gt;0,"YES","GAP")</f>
        <v>YES</v>
      </c>
    </row>
    <row r="61" customFormat="false" ht="22.35" hidden="false" customHeight="false" outlineLevel="0" collapsed="false">
      <c r="A61" s="19" t="s">
        <v>3708</v>
      </c>
      <c r="B61" s="19" t="s">
        <v>4638</v>
      </c>
      <c r="C61" s="19" t="s">
        <v>3700</v>
      </c>
      <c r="D61" s="19" t="s">
        <v>3710</v>
      </c>
      <c r="E61" s="19" t="s">
        <v>174</v>
      </c>
      <c r="F61" s="19" t="n">
        <f aca="false">COUNTIF(Responsibilities!$E:$E,A61)</f>
        <v>1</v>
      </c>
      <c r="G61" s="20" t="str">
        <f aca="false">IF(F61&gt;0,"YES","GAP")</f>
        <v>YES</v>
      </c>
    </row>
    <row r="62" customFormat="false" ht="32.8" hidden="false" customHeight="false" outlineLevel="0" collapsed="false">
      <c r="A62" s="19" t="s">
        <v>3713</v>
      </c>
      <c r="B62" s="19" t="s">
        <v>4639</v>
      </c>
      <c r="C62" s="19" t="s">
        <v>3700</v>
      </c>
      <c r="D62" s="19" t="s">
        <v>3715</v>
      </c>
      <c r="E62" s="19" t="s">
        <v>174</v>
      </c>
      <c r="F62" s="19" t="n">
        <f aca="false">COUNTIF(Responsibilities!$E:$E,A62)</f>
        <v>1</v>
      </c>
      <c r="G62" s="20" t="str">
        <f aca="false">IF(F62&gt;0,"YES","GAP")</f>
        <v>YES</v>
      </c>
    </row>
    <row r="63" customFormat="false" ht="32.8" hidden="false" customHeight="false" outlineLevel="0" collapsed="false">
      <c r="A63" s="19" t="s">
        <v>3718</v>
      </c>
      <c r="B63" s="19" t="s">
        <v>4640</v>
      </c>
      <c r="C63" s="19" t="s">
        <v>3700</v>
      </c>
      <c r="D63" s="19" t="s">
        <v>3720</v>
      </c>
      <c r="E63" s="19" t="s">
        <v>174</v>
      </c>
      <c r="F63" s="19" t="n">
        <f aca="false">COUNTIF(Responsibilities!$E:$E,A63)</f>
        <v>1</v>
      </c>
      <c r="G63" s="20" t="str">
        <f aca="false">IF(F63&gt;0,"YES","GAP")</f>
        <v>YES</v>
      </c>
    </row>
    <row r="64" customFormat="false" ht="22.35" hidden="false" customHeight="false" outlineLevel="0" collapsed="false">
      <c r="A64" s="19" t="s">
        <v>3723</v>
      </c>
      <c r="B64" s="19" t="s">
        <v>4641</v>
      </c>
      <c r="C64" s="19" t="s">
        <v>3700</v>
      </c>
      <c r="D64" s="19" t="s">
        <v>3725</v>
      </c>
      <c r="E64" s="19" t="s">
        <v>174</v>
      </c>
      <c r="F64" s="19" t="n">
        <f aca="false">COUNTIF(Responsibilities!$E:$E,A64)</f>
        <v>1</v>
      </c>
      <c r="G64" s="20" t="str">
        <f aca="false">IF(F64&gt;0,"YES","GAP")</f>
        <v>YES</v>
      </c>
    </row>
    <row r="65" customFormat="false" ht="22.35" hidden="false" customHeight="false" outlineLevel="0" collapsed="false">
      <c r="A65" s="19" t="s">
        <v>3728</v>
      </c>
      <c r="B65" s="19" t="s">
        <v>4642</v>
      </c>
      <c r="C65" s="19" t="s">
        <v>3700</v>
      </c>
      <c r="D65" s="19" t="s">
        <v>3730</v>
      </c>
      <c r="E65" s="19" t="s">
        <v>302</v>
      </c>
      <c r="F65" s="19" t="n">
        <f aca="false">COUNTIF(Responsibilities!$E:$E,A65)</f>
        <v>1</v>
      </c>
      <c r="G65" s="20" t="str">
        <f aca="false">IF(F65&gt;0,"YES","GAP")</f>
        <v>YES</v>
      </c>
    </row>
    <row r="66" customFormat="false" ht="22.35" hidden="false" customHeight="false" outlineLevel="0" collapsed="false">
      <c r="A66" s="19" t="s">
        <v>3733</v>
      </c>
      <c r="B66" s="19" t="s">
        <v>4643</v>
      </c>
      <c r="C66" s="19" t="s">
        <v>3700</v>
      </c>
      <c r="D66" s="19" t="s">
        <v>3735</v>
      </c>
      <c r="E66" s="19" t="s">
        <v>174</v>
      </c>
      <c r="F66" s="19" t="n">
        <f aca="false">COUNTIF(Responsibilities!$E:$E,A66)</f>
        <v>1</v>
      </c>
      <c r="G66" s="20" t="str">
        <f aca="false">IF(F66&gt;0,"YES","GAP")</f>
        <v>YES</v>
      </c>
    </row>
    <row r="67" customFormat="false" ht="22.35" hidden="false" customHeight="false" outlineLevel="0" collapsed="false">
      <c r="A67" s="19" t="s">
        <v>3738</v>
      </c>
      <c r="B67" s="19" t="s">
        <v>3739</v>
      </c>
      <c r="C67" s="19" t="s">
        <v>3740</v>
      </c>
      <c r="D67" s="19" t="s">
        <v>3741</v>
      </c>
      <c r="E67" s="19" t="s">
        <v>174</v>
      </c>
      <c r="F67" s="19" t="n">
        <f aca="false">COUNTIF(Responsibilities!$E:$E,A67)</f>
        <v>1</v>
      </c>
      <c r="G67" s="20" t="str">
        <f aca="false">IF(F67&gt;0,"YES","GAP")</f>
        <v>YES</v>
      </c>
    </row>
    <row r="68" customFormat="false" ht="32.8" hidden="false" customHeight="false" outlineLevel="0" collapsed="false">
      <c r="A68" s="19" t="s">
        <v>3747</v>
      </c>
      <c r="B68" s="19" t="s">
        <v>3748</v>
      </c>
      <c r="C68" s="19" t="s">
        <v>3749</v>
      </c>
      <c r="D68" s="19" t="s">
        <v>3750</v>
      </c>
      <c r="E68" s="19" t="s">
        <v>1082</v>
      </c>
      <c r="F68" s="19" t="n">
        <f aca="false">COUNTIF(Responsibilities!$E:$E,A68)</f>
        <v>1</v>
      </c>
      <c r="G68" s="20" t="str">
        <f aca="false">IF(F68&gt;0,"YES","GAP")</f>
        <v>YES</v>
      </c>
    </row>
    <row r="69" customFormat="false" ht="22.35" hidden="false" customHeight="false" outlineLevel="0" collapsed="false">
      <c r="A69" s="19" t="s">
        <v>3754</v>
      </c>
      <c r="B69" s="19" t="s">
        <v>3755</v>
      </c>
      <c r="C69" s="19" t="s">
        <v>3749</v>
      </c>
      <c r="D69" s="19" t="s">
        <v>3756</v>
      </c>
      <c r="E69" s="19" t="s">
        <v>1088</v>
      </c>
      <c r="F69" s="19" t="n">
        <f aca="false">COUNTIF(Responsibilities!$E:$E,A69)</f>
        <v>1</v>
      </c>
      <c r="G69" s="20" t="str">
        <f aca="false">IF(F69&gt;0,"YES","GAP")</f>
        <v>YES</v>
      </c>
    </row>
    <row r="70" customFormat="false" ht="32.8" hidden="false" customHeight="false" outlineLevel="0" collapsed="false">
      <c r="A70" s="19" t="s">
        <v>3759</v>
      </c>
      <c r="B70" s="19" t="s">
        <v>4644</v>
      </c>
      <c r="C70" s="19" t="s">
        <v>3749</v>
      </c>
      <c r="D70" s="19" t="s">
        <v>3761</v>
      </c>
      <c r="E70" s="19" t="s">
        <v>1088</v>
      </c>
      <c r="F70" s="19" t="n">
        <f aca="false">COUNTIF(Responsibilities!$E:$E,A70)</f>
        <v>1</v>
      </c>
      <c r="G70" s="20" t="str">
        <f aca="false">IF(F70&gt;0,"YES","GAP")</f>
        <v>YES</v>
      </c>
    </row>
    <row r="71" customFormat="false" ht="22.35" hidden="false" customHeight="false" outlineLevel="0" collapsed="false">
      <c r="A71" s="19" t="s">
        <v>3763</v>
      </c>
      <c r="B71" s="19" t="s">
        <v>3764</v>
      </c>
      <c r="C71" s="19" t="s">
        <v>3749</v>
      </c>
      <c r="D71" s="19" t="s">
        <v>3765</v>
      </c>
      <c r="E71" s="19" t="s">
        <v>1097</v>
      </c>
      <c r="F71" s="19" t="n">
        <f aca="false">COUNTIF(Responsibilities!$E:$E,A71)</f>
        <v>1</v>
      </c>
      <c r="G71" s="20" t="str">
        <f aca="false">IF(F71&gt;0,"YES","GAP")</f>
        <v>YES</v>
      </c>
    </row>
    <row r="72" customFormat="false" ht="22.35" hidden="false" customHeight="false" outlineLevel="0" collapsed="false">
      <c r="A72" s="19" t="s">
        <v>3767</v>
      </c>
      <c r="B72" s="19" t="s">
        <v>3768</v>
      </c>
      <c r="C72" s="19" t="s">
        <v>3749</v>
      </c>
      <c r="D72" s="19" t="s">
        <v>3769</v>
      </c>
      <c r="E72" s="19" t="s">
        <v>1097</v>
      </c>
      <c r="F72" s="19" t="n">
        <f aca="false">COUNTIF(Responsibilities!$E:$E,A72)</f>
        <v>1</v>
      </c>
      <c r="G72" s="20" t="str">
        <f aca="false">IF(F72&gt;0,"YES","GAP")</f>
        <v>YES</v>
      </c>
    </row>
    <row r="73" customFormat="false" ht="22.35" hidden="false" customHeight="false" outlineLevel="0" collapsed="false">
      <c r="A73" s="19" t="s">
        <v>3772</v>
      </c>
      <c r="B73" s="19" t="s">
        <v>3773</v>
      </c>
      <c r="C73" s="19" t="s">
        <v>3749</v>
      </c>
      <c r="D73" s="19" t="s">
        <v>3774</v>
      </c>
      <c r="E73" s="19" t="s">
        <v>752</v>
      </c>
      <c r="F73" s="19" t="n">
        <f aca="false">COUNTIF(Responsibilities!$E:$E,A73)</f>
        <v>1</v>
      </c>
      <c r="G73" s="20" t="str">
        <f aca="false">IF(F73&gt;0,"YES","GAP")</f>
        <v>YES</v>
      </c>
    </row>
    <row r="74" customFormat="false" ht="15" hidden="false" customHeight="false" outlineLevel="0" collapsed="false">
      <c r="A74" s="19" t="s">
        <v>3776</v>
      </c>
      <c r="B74" s="19" t="s">
        <v>3777</v>
      </c>
      <c r="C74" s="19" t="s">
        <v>3778</v>
      </c>
      <c r="D74" s="19" t="s">
        <v>497</v>
      </c>
      <c r="E74" s="19" t="s">
        <v>510</v>
      </c>
      <c r="F74" s="19" t="n">
        <f aca="false">COUNTIF(Responsibilities!$E:$E,A74)</f>
        <v>1</v>
      </c>
      <c r="G74" s="20" t="str">
        <f aca="false">IF(F74&gt;0,"YES","GAP")</f>
        <v>YES</v>
      </c>
    </row>
    <row r="75" customFormat="false" ht="15" hidden="false" customHeight="false" outlineLevel="0" collapsed="false">
      <c r="A75" s="19" t="s">
        <v>3781</v>
      </c>
      <c r="B75" s="19" t="s">
        <v>3782</v>
      </c>
      <c r="C75" s="19" t="s">
        <v>3778</v>
      </c>
      <c r="D75" s="19" t="s">
        <v>497</v>
      </c>
      <c r="E75" s="19" t="s">
        <v>510</v>
      </c>
      <c r="F75" s="19" t="n">
        <f aca="false">COUNTIF(Responsibilities!$E:$E,A75)</f>
        <v>1</v>
      </c>
      <c r="G75" s="20" t="str">
        <f aca="false">IF(F75&gt;0,"YES","GAP")</f>
        <v>YES</v>
      </c>
    </row>
    <row r="76" customFormat="false" ht="15" hidden="false" customHeight="false" outlineLevel="0" collapsed="false">
      <c r="A76" s="19" t="s">
        <v>3784</v>
      </c>
      <c r="B76" s="19" t="s">
        <v>3785</v>
      </c>
      <c r="C76" s="19" t="s">
        <v>3778</v>
      </c>
      <c r="D76" s="19" t="s">
        <v>497</v>
      </c>
      <c r="E76" s="19" t="s">
        <v>565</v>
      </c>
      <c r="F76" s="19" t="n">
        <f aca="false">COUNTIF(Responsibilities!$E:$E,A76)</f>
        <v>1</v>
      </c>
      <c r="G76" s="20" t="str">
        <f aca="false">IF(F76&gt;0,"YES","GAP")</f>
        <v>YES</v>
      </c>
    </row>
    <row r="77" customFormat="false" ht="15" hidden="false" customHeight="false" outlineLevel="0" collapsed="false">
      <c r="A77" s="19" t="s">
        <v>3787</v>
      </c>
      <c r="B77" s="19" t="s">
        <v>3788</v>
      </c>
      <c r="C77" s="19" t="s">
        <v>3778</v>
      </c>
      <c r="D77" s="19" t="s">
        <v>497</v>
      </c>
      <c r="E77" s="19" t="s">
        <v>571</v>
      </c>
      <c r="F77" s="19" t="n">
        <f aca="false">COUNTIF(Responsibilities!$E:$E,A77)</f>
        <v>1</v>
      </c>
      <c r="G77" s="20" t="str">
        <f aca="false">IF(F77&gt;0,"YES","GAP")</f>
        <v>YES</v>
      </c>
    </row>
    <row r="78" customFormat="false" ht="15" hidden="false" customHeight="false" outlineLevel="0" collapsed="false">
      <c r="A78" s="19" t="s">
        <v>3790</v>
      </c>
      <c r="B78" s="19" t="s">
        <v>3791</v>
      </c>
      <c r="C78" s="19" t="s">
        <v>3778</v>
      </c>
      <c r="D78" s="19" t="s">
        <v>497</v>
      </c>
      <c r="E78" s="19" t="s">
        <v>510</v>
      </c>
      <c r="F78" s="19" t="n">
        <f aca="false">COUNTIF(Responsibilities!$E:$E,A78)</f>
        <v>1</v>
      </c>
      <c r="G78" s="20" t="str">
        <f aca="false">IF(F78&gt;0,"YES","GAP")</f>
        <v>YES</v>
      </c>
    </row>
    <row r="79" customFormat="false" ht="22.35" hidden="false" customHeight="false" outlineLevel="0" collapsed="false">
      <c r="A79" s="19" t="s">
        <v>3794</v>
      </c>
      <c r="B79" s="19" t="s">
        <v>3795</v>
      </c>
      <c r="C79" s="19" t="s">
        <v>3778</v>
      </c>
      <c r="D79" s="19" t="s">
        <v>497</v>
      </c>
      <c r="E79" s="19" t="s">
        <v>476</v>
      </c>
      <c r="F79" s="19" t="n">
        <f aca="false">COUNTIF(Responsibilities!$E:$E,A79)</f>
        <v>1</v>
      </c>
      <c r="G79" s="20" t="str">
        <f aca="false">IF(F79&gt;0,"YES","GAP")</f>
        <v>YES</v>
      </c>
    </row>
    <row r="80" customFormat="false" ht="22.35" hidden="false" customHeight="false" outlineLevel="0" collapsed="false">
      <c r="A80" s="19" t="s">
        <v>3797</v>
      </c>
      <c r="B80" s="19" t="s">
        <v>3798</v>
      </c>
      <c r="C80" s="19" t="s">
        <v>3799</v>
      </c>
      <c r="D80" s="19" t="s">
        <v>606</v>
      </c>
      <c r="E80" s="19" t="s">
        <v>510</v>
      </c>
      <c r="F80" s="19" t="n">
        <f aca="false">COUNTIF(Responsibilities!$E:$E,A80)</f>
        <v>1</v>
      </c>
      <c r="G80" s="20" t="str">
        <f aca="false">IF(F80&gt;0,"YES","GAP")</f>
        <v>YES</v>
      </c>
    </row>
    <row r="81" customFormat="false" ht="22.35" hidden="false" customHeight="false" outlineLevel="0" collapsed="false">
      <c r="A81" s="19" t="s">
        <v>3803</v>
      </c>
      <c r="B81" s="19" t="s">
        <v>3804</v>
      </c>
      <c r="C81" s="19" t="s">
        <v>3799</v>
      </c>
      <c r="D81" s="19" t="s">
        <v>606</v>
      </c>
      <c r="E81" s="19" t="s">
        <v>565</v>
      </c>
      <c r="F81" s="19" t="n">
        <f aca="false">COUNTIF(Responsibilities!$E:$E,A81)</f>
        <v>1</v>
      </c>
      <c r="G81" s="20" t="str">
        <f aca="false">IF(F81&gt;0,"YES","GAP")</f>
        <v>YES</v>
      </c>
    </row>
    <row r="82" customFormat="false" ht="22.35" hidden="false" customHeight="false" outlineLevel="0" collapsed="false">
      <c r="A82" s="19" t="s">
        <v>3806</v>
      </c>
      <c r="B82" s="19" t="s">
        <v>3807</v>
      </c>
      <c r="C82" s="19" t="s">
        <v>3799</v>
      </c>
      <c r="D82" s="19" t="s">
        <v>606</v>
      </c>
      <c r="E82" s="19" t="s">
        <v>571</v>
      </c>
      <c r="F82" s="19" t="n">
        <f aca="false">COUNTIF(Responsibilities!$E:$E,A82)</f>
        <v>1</v>
      </c>
      <c r="G82" s="20" t="str">
        <f aca="false">IF(F82&gt;0,"YES","GAP")</f>
        <v>YES</v>
      </c>
    </row>
    <row r="83" customFormat="false" ht="22.35" hidden="false" customHeight="false" outlineLevel="0" collapsed="false">
      <c r="A83" s="19" t="s">
        <v>3809</v>
      </c>
      <c r="B83" s="19" t="s">
        <v>3810</v>
      </c>
      <c r="C83" s="19" t="s">
        <v>3799</v>
      </c>
      <c r="D83" s="19" t="s">
        <v>606</v>
      </c>
      <c r="E83" s="19" t="s">
        <v>581</v>
      </c>
      <c r="F83" s="19" t="n">
        <f aca="false">COUNTIF(Responsibilities!$E:$E,A83)</f>
        <v>1</v>
      </c>
      <c r="G83" s="20" t="str">
        <f aca="false">IF(F83&gt;0,"YES","GAP")</f>
        <v>YES</v>
      </c>
    </row>
    <row r="84" customFormat="false" ht="22.35" hidden="false" customHeight="false" outlineLevel="0" collapsed="false">
      <c r="A84" s="19" t="s">
        <v>3812</v>
      </c>
      <c r="B84" s="19" t="s">
        <v>3813</v>
      </c>
      <c r="C84" s="19" t="s">
        <v>3799</v>
      </c>
      <c r="D84" s="19" t="s">
        <v>606</v>
      </c>
      <c r="E84" s="19" t="s">
        <v>581</v>
      </c>
      <c r="F84" s="19" t="n">
        <f aca="false">COUNTIF(Responsibilities!$E:$E,A84)</f>
        <v>1</v>
      </c>
      <c r="G84" s="20" t="str">
        <f aca="false">IF(F84&gt;0,"YES","GAP")</f>
        <v>YES</v>
      </c>
    </row>
    <row r="85" customFormat="false" ht="22.35" hidden="false" customHeight="false" outlineLevel="0" collapsed="false">
      <c r="A85" s="19" t="s">
        <v>3815</v>
      </c>
      <c r="B85" s="19" t="s">
        <v>3816</v>
      </c>
      <c r="C85" s="19" t="s">
        <v>3799</v>
      </c>
      <c r="D85" s="19" t="s">
        <v>606</v>
      </c>
      <c r="E85" s="19" t="s">
        <v>642</v>
      </c>
      <c r="F85" s="19" t="n">
        <f aca="false">COUNTIF(Responsibilities!$E:$E,A85)</f>
        <v>1</v>
      </c>
      <c r="G85" s="20" t="str">
        <f aca="false">IF(F85&gt;0,"YES","GAP")</f>
        <v>YES</v>
      </c>
    </row>
    <row r="86" customFormat="false" ht="22.35" hidden="false" customHeight="false" outlineLevel="0" collapsed="false">
      <c r="A86" s="19" t="s">
        <v>3818</v>
      </c>
      <c r="B86" s="19" t="s">
        <v>3819</v>
      </c>
      <c r="C86" s="19" t="s">
        <v>3799</v>
      </c>
      <c r="D86" s="19" t="s">
        <v>606</v>
      </c>
      <c r="E86" s="19" t="s">
        <v>675</v>
      </c>
      <c r="F86" s="19" t="n">
        <f aca="false">COUNTIF(Responsibilities!$E:$E,A86)</f>
        <v>1</v>
      </c>
      <c r="G86" s="20" t="str">
        <f aca="false">IF(F86&gt;0,"YES","GAP")</f>
        <v>YES</v>
      </c>
    </row>
    <row r="87" customFormat="false" ht="32.8" hidden="false" customHeight="false" outlineLevel="0" collapsed="false">
      <c r="A87" s="19" t="s">
        <v>3821</v>
      </c>
      <c r="B87" s="19" t="s">
        <v>3822</v>
      </c>
      <c r="C87" s="19" t="s">
        <v>3799</v>
      </c>
      <c r="D87" s="19" t="s">
        <v>606</v>
      </c>
      <c r="E87" s="19" t="s">
        <v>251</v>
      </c>
      <c r="F87" s="19" t="n">
        <f aca="false">COUNTIF(Responsibilities!$E:$E,A87)</f>
        <v>1</v>
      </c>
      <c r="G87" s="20" t="str">
        <f aca="false">IF(F87&gt;0,"YES","GAP")</f>
        <v>YES</v>
      </c>
    </row>
    <row r="88" customFormat="false" ht="15" hidden="false" customHeight="false" outlineLevel="0" collapsed="false">
      <c r="A88" s="19" t="s">
        <v>3824</v>
      </c>
      <c r="B88" s="19" t="s">
        <v>3825</v>
      </c>
      <c r="C88" s="19" t="s">
        <v>3826</v>
      </c>
      <c r="D88" s="19" t="s">
        <v>3827</v>
      </c>
      <c r="E88" s="19" t="s">
        <v>603</v>
      </c>
      <c r="F88" s="19" t="n">
        <f aca="false">COUNTIF(Responsibilities!$E:$E,A88)</f>
        <v>1</v>
      </c>
      <c r="G88" s="20" t="str">
        <f aca="false">IF(F88&gt;0,"YES","GAP")</f>
        <v>YES</v>
      </c>
    </row>
    <row r="89" customFormat="false" ht="15" hidden="false" customHeight="false" outlineLevel="0" collapsed="false">
      <c r="A89" s="19" t="s">
        <v>3832</v>
      </c>
      <c r="B89" s="19" t="s">
        <v>3833</v>
      </c>
      <c r="C89" s="19" t="s">
        <v>3826</v>
      </c>
      <c r="D89" s="19" t="s">
        <v>3827</v>
      </c>
      <c r="E89" s="19" t="s">
        <v>653</v>
      </c>
      <c r="F89" s="19" t="n">
        <f aca="false">COUNTIF(Responsibilities!$E:$E,A89)</f>
        <v>1</v>
      </c>
      <c r="G89" s="20" t="str">
        <f aca="false">IF(F89&gt;0,"YES","GAP")</f>
        <v>YES</v>
      </c>
    </row>
    <row r="90" customFormat="false" ht="15" hidden="false" customHeight="false" outlineLevel="0" collapsed="false">
      <c r="A90" s="19" t="s">
        <v>3835</v>
      </c>
      <c r="B90" s="19" t="s">
        <v>3836</v>
      </c>
      <c r="C90" s="19" t="s">
        <v>3826</v>
      </c>
      <c r="D90" s="19" t="s">
        <v>3827</v>
      </c>
      <c r="E90" s="19" t="s">
        <v>642</v>
      </c>
      <c r="F90" s="19" t="n">
        <f aca="false">COUNTIF(Responsibilities!$E:$E,A90)</f>
        <v>1</v>
      </c>
      <c r="G90" s="20" t="str">
        <f aca="false">IF(F90&gt;0,"YES","GAP")</f>
        <v>YES</v>
      </c>
    </row>
    <row r="91" customFormat="false" ht="15" hidden="false" customHeight="false" outlineLevel="0" collapsed="false">
      <c r="A91" s="19" t="s">
        <v>3838</v>
      </c>
      <c r="B91" s="19" t="s">
        <v>3839</v>
      </c>
      <c r="C91" s="19" t="s">
        <v>3826</v>
      </c>
      <c r="D91" s="19" t="s">
        <v>3827</v>
      </c>
      <c r="E91" s="19" t="s">
        <v>630</v>
      </c>
      <c r="F91" s="19" t="n">
        <f aca="false">COUNTIF(Responsibilities!$E:$E,A91)</f>
        <v>1</v>
      </c>
      <c r="G91" s="20" t="str">
        <f aca="false">IF(F91&gt;0,"YES","GAP")</f>
        <v>YES</v>
      </c>
    </row>
    <row r="92" customFormat="false" ht="15" hidden="false" customHeight="false" outlineLevel="0" collapsed="false">
      <c r="A92" s="19" t="s">
        <v>3841</v>
      </c>
      <c r="B92" s="19" t="s">
        <v>3842</v>
      </c>
      <c r="C92" s="19" t="s">
        <v>3826</v>
      </c>
      <c r="D92" s="19" t="s">
        <v>3827</v>
      </c>
      <c r="E92" s="19" t="s">
        <v>603</v>
      </c>
      <c r="F92" s="19" t="n">
        <f aca="false">COUNTIF(Responsibilities!$E:$E,A92)</f>
        <v>1</v>
      </c>
      <c r="G92" s="20" t="str">
        <f aca="false">IF(F92&gt;0,"YES","GAP")</f>
        <v>YES</v>
      </c>
    </row>
    <row r="93" customFormat="false" ht="22.35" hidden="false" customHeight="false" outlineLevel="0" collapsed="false">
      <c r="A93" s="19" t="s">
        <v>3844</v>
      </c>
      <c r="B93" s="19" t="s">
        <v>3845</v>
      </c>
      <c r="C93" s="19" t="s">
        <v>3826</v>
      </c>
      <c r="D93" s="19" t="s">
        <v>3827</v>
      </c>
      <c r="E93" s="19" t="s">
        <v>557</v>
      </c>
      <c r="F93" s="19" t="n">
        <f aca="false">COUNTIF(Responsibilities!$E:$E,A93)</f>
        <v>1</v>
      </c>
      <c r="G93" s="20" t="str">
        <f aca="false">IF(F93&gt;0,"YES","GAP")</f>
        <v>YES</v>
      </c>
    </row>
    <row r="94" customFormat="false" ht="22.35" hidden="false" customHeight="false" outlineLevel="0" collapsed="false">
      <c r="A94" s="19" t="s">
        <v>3847</v>
      </c>
      <c r="B94" s="19" t="s">
        <v>3848</v>
      </c>
      <c r="C94" s="19" t="s">
        <v>3849</v>
      </c>
      <c r="D94" s="19" t="s">
        <v>3850</v>
      </c>
      <c r="E94" s="19" t="s">
        <v>630</v>
      </c>
      <c r="F94" s="19" t="n">
        <f aca="false">COUNTIF(Responsibilities!$E:$E,A94)</f>
        <v>1</v>
      </c>
      <c r="G94" s="20" t="str">
        <f aca="false">IF(F94&gt;0,"YES","GAP")</f>
        <v>YES</v>
      </c>
    </row>
    <row r="95" customFormat="false" ht="22.35" hidden="false" customHeight="false" outlineLevel="0" collapsed="false">
      <c r="A95" s="19" t="s">
        <v>3854</v>
      </c>
      <c r="B95" s="19" t="s">
        <v>3855</v>
      </c>
      <c r="C95" s="19" t="s">
        <v>3849</v>
      </c>
      <c r="D95" s="19" t="s">
        <v>3850</v>
      </c>
      <c r="E95" s="19" t="s">
        <v>630</v>
      </c>
      <c r="F95" s="19" t="n">
        <f aca="false">COUNTIF(Responsibilities!$E:$E,A95)</f>
        <v>1</v>
      </c>
      <c r="G95" s="20" t="str">
        <f aca="false">IF(F95&gt;0,"YES","GAP")</f>
        <v>YES</v>
      </c>
    </row>
    <row r="96" customFormat="false" ht="22.35" hidden="false" customHeight="false" outlineLevel="0" collapsed="false">
      <c r="A96" s="19" t="s">
        <v>3857</v>
      </c>
      <c r="B96" s="19" t="s">
        <v>3858</v>
      </c>
      <c r="C96" s="19" t="s">
        <v>3849</v>
      </c>
      <c r="D96" s="19" t="s">
        <v>3850</v>
      </c>
      <c r="E96" s="19" t="s">
        <v>630</v>
      </c>
      <c r="F96" s="19" t="n">
        <f aca="false">COUNTIF(Responsibilities!$E:$E,A96)</f>
        <v>1</v>
      </c>
      <c r="G96" s="20" t="str">
        <f aca="false">IF(F96&gt;0,"YES","GAP")</f>
        <v>YES</v>
      </c>
    </row>
    <row r="97" customFormat="false" ht="22.35" hidden="false" customHeight="false" outlineLevel="0" collapsed="false">
      <c r="A97" s="19" t="s">
        <v>3860</v>
      </c>
      <c r="B97" s="19" t="s">
        <v>3861</v>
      </c>
      <c r="C97" s="19" t="s">
        <v>3862</v>
      </c>
      <c r="D97" s="19" t="s">
        <v>3863</v>
      </c>
      <c r="E97" s="19" t="s">
        <v>603</v>
      </c>
      <c r="F97" s="19" t="n">
        <f aca="false">COUNTIF(Responsibilities!$E:$E,A97)</f>
        <v>1</v>
      </c>
      <c r="G97" s="20" t="str">
        <f aca="false">IF(F97&gt;0,"YES","GAP")</f>
        <v>YES</v>
      </c>
    </row>
    <row r="98" customFormat="false" ht="22.35" hidden="false" customHeight="false" outlineLevel="0" collapsed="false">
      <c r="A98" s="19" t="s">
        <v>3869</v>
      </c>
      <c r="B98" s="19" t="s">
        <v>3870</v>
      </c>
      <c r="C98" s="19" t="s">
        <v>3862</v>
      </c>
      <c r="D98" s="19" t="s">
        <v>3863</v>
      </c>
      <c r="E98" s="19" t="s">
        <v>603</v>
      </c>
      <c r="F98" s="19" t="n">
        <f aca="false">COUNTIF(Responsibilities!$E:$E,A98)</f>
        <v>1</v>
      </c>
      <c r="G98" s="20" t="str">
        <f aca="false">IF(F98&gt;0,"YES","GAP")</f>
        <v>YES</v>
      </c>
    </row>
    <row r="99" customFormat="false" ht="32.8" hidden="false" customHeight="false" outlineLevel="0" collapsed="false">
      <c r="A99" s="19" t="s">
        <v>3872</v>
      </c>
      <c r="B99" s="19" t="s">
        <v>3873</v>
      </c>
      <c r="C99" s="19" t="s">
        <v>3862</v>
      </c>
      <c r="D99" s="19" t="s">
        <v>3863</v>
      </c>
      <c r="E99" s="19" t="s">
        <v>603</v>
      </c>
      <c r="F99" s="19" t="n">
        <f aca="false">COUNTIF(Responsibilities!$E:$E,A99)</f>
        <v>1</v>
      </c>
      <c r="G99" s="20" t="str">
        <f aca="false">IF(F99&gt;0,"YES","GAP")</f>
        <v>YES</v>
      </c>
    </row>
    <row r="100" customFormat="false" ht="22.35" hidden="false" customHeight="false" outlineLevel="0" collapsed="false">
      <c r="A100" s="19" t="s">
        <v>3875</v>
      </c>
      <c r="B100" s="19" t="s">
        <v>3876</v>
      </c>
      <c r="C100" s="19" t="s">
        <v>3862</v>
      </c>
      <c r="D100" s="19" t="s">
        <v>3863</v>
      </c>
      <c r="E100" s="19" t="s">
        <v>603</v>
      </c>
      <c r="F100" s="19" t="n">
        <f aca="false">COUNTIF(Responsibilities!$E:$E,A100)</f>
        <v>1</v>
      </c>
      <c r="G100" s="20" t="str">
        <f aca="false">IF(F100&gt;0,"YES","GAP")</f>
        <v>YES</v>
      </c>
    </row>
    <row r="101" customFormat="false" ht="32.8" hidden="false" customHeight="false" outlineLevel="0" collapsed="false">
      <c r="A101" s="19" t="s">
        <v>3878</v>
      </c>
      <c r="B101" s="19" t="s">
        <v>3879</v>
      </c>
      <c r="C101" s="19" t="s">
        <v>3862</v>
      </c>
      <c r="D101" s="19" t="s">
        <v>3863</v>
      </c>
      <c r="E101" s="19" t="s">
        <v>603</v>
      </c>
      <c r="F101" s="19" t="n">
        <f aca="false">COUNTIF(Responsibilities!$E:$E,A101)</f>
        <v>1</v>
      </c>
      <c r="G101" s="20" t="str">
        <f aca="false">IF(F101&gt;0,"YES","GAP")</f>
        <v>YES</v>
      </c>
    </row>
    <row r="102" customFormat="false" ht="22.35" hidden="false" customHeight="false" outlineLevel="0" collapsed="false">
      <c r="A102" s="19" t="s">
        <v>3881</v>
      </c>
      <c r="B102" s="19" t="s">
        <v>3882</v>
      </c>
      <c r="C102" s="19" t="s">
        <v>3862</v>
      </c>
      <c r="D102" s="19" t="s">
        <v>3863</v>
      </c>
      <c r="E102" s="19" t="s">
        <v>603</v>
      </c>
      <c r="F102" s="19" t="n">
        <f aca="false">COUNTIF(Responsibilities!$E:$E,A102)</f>
        <v>1</v>
      </c>
      <c r="G102" s="20" t="str">
        <f aca="false">IF(F102&gt;0,"YES","GAP")</f>
        <v>YES</v>
      </c>
    </row>
    <row r="103" customFormat="false" ht="32.8" hidden="false" customHeight="false" outlineLevel="0" collapsed="false">
      <c r="A103" s="19" t="s">
        <v>3884</v>
      </c>
      <c r="B103" s="19" t="s">
        <v>4645</v>
      </c>
      <c r="C103" s="19" t="s">
        <v>3862</v>
      </c>
      <c r="D103" s="19" t="s">
        <v>3863</v>
      </c>
      <c r="E103" s="19" t="s">
        <v>603</v>
      </c>
      <c r="F103" s="19" t="n">
        <f aca="false">COUNTIF(Responsibilities!$E:$E,A103)</f>
        <v>1</v>
      </c>
      <c r="G103" s="20" t="str">
        <f aca="false">IF(F103&gt;0,"YES","GAP")</f>
        <v>YES</v>
      </c>
    </row>
    <row r="104" customFormat="false" ht="15" hidden="false" customHeight="false" outlineLevel="0" collapsed="false">
      <c r="A104" s="19" t="s">
        <v>3887</v>
      </c>
      <c r="B104" s="19" t="s">
        <v>3888</v>
      </c>
      <c r="C104" s="19" t="s">
        <v>3889</v>
      </c>
      <c r="D104" s="19" t="s">
        <v>3890</v>
      </c>
      <c r="E104" s="19" t="s">
        <v>618</v>
      </c>
      <c r="F104" s="19" t="n">
        <f aca="false">COUNTIF(Responsibilities!$E:$E,A104)</f>
        <v>1</v>
      </c>
      <c r="G104" s="20" t="str">
        <f aca="false">IF(F104&gt;0,"YES","GAP")</f>
        <v>YES</v>
      </c>
    </row>
    <row r="105" customFormat="false" ht="22.35" hidden="false" customHeight="false" outlineLevel="0" collapsed="false">
      <c r="A105" s="19" t="s">
        <v>3896</v>
      </c>
      <c r="B105" s="19" t="s">
        <v>3897</v>
      </c>
      <c r="C105" s="19" t="s">
        <v>3889</v>
      </c>
      <c r="D105" s="19" t="s">
        <v>3890</v>
      </c>
      <c r="E105" s="19" t="s">
        <v>618</v>
      </c>
      <c r="F105" s="19" t="n">
        <f aca="false">COUNTIF(Responsibilities!$E:$E,A105)</f>
        <v>1</v>
      </c>
      <c r="G105" s="20" t="str">
        <f aca="false">IF(F105&gt;0,"YES","GAP")</f>
        <v>YES</v>
      </c>
    </row>
    <row r="106" customFormat="false" ht="15" hidden="false" customHeight="false" outlineLevel="0" collapsed="false">
      <c r="A106" s="19" t="s">
        <v>3899</v>
      </c>
      <c r="B106" s="19" t="s">
        <v>3900</v>
      </c>
      <c r="C106" s="19" t="s">
        <v>3889</v>
      </c>
      <c r="D106" s="19" t="s">
        <v>3890</v>
      </c>
      <c r="E106" s="19" t="s">
        <v>618</v>
      </c>
      <c r="F106" s="19" t="n">
        <f aca="false">COUNTIF(Responsibilities!$E:$E,A106)</f>
        <v>1</v>
      </c>
      <c r="G106" s="20" t="str">
        <f aca="false">IF(F106&gt;0,"YES","GAP")</f>
        <v>YES</v>
      </c>
    </row>
    <row r="107" customFormat="false" ht="22.35" hidden="false" customHeight="false" outlineLevel="0" collapsed="false">
      <c r="A107" s="19" t="s">
        <v>3902</v>
      </c>
      <c r="B107" s="19" t="s">
        <v>3903</v>
      </c>
      <c r="C107" s="19" t="s">
        <v>3889</v>
      </c>
      <c r="D107" s="19" t="s">
        <v>3890</v>
      </c>
      <c r="E107" s="19" t="s">
        <v>618</v>
      </c>
      <c r="F107" s="19" t="n">
        <f aca="false">COUNTIF(Responsibilities!$E:$E,A107)</f>
        <v>1</v>
      </c>
      <c r="G107" s="20" t="str">
        <f aca="false">IF(F107&gt;0,"YES","GAP")</f>
        <v>YES</v>
      </c>
    </row>
    <row r="108" customFormat="false" ht="22.35" hidden="false" customHeight="false" outlineLevel="0" collapsed="false">
      <c r="A108" s="19" t="s">
        <v>3905</v>
      </c>
      <c r="B108" s="19" t="s">
        <v>3906</v>
      </c>
      <c r="C108" s="19" t="s">
        <v>3907</v>
      </c>
      <c r="D108" s="19" t="s">
        <v>3908</v>
      </c>
      <c r="E108" s="19" t="s">
        <v>1169</v>
      </c>
      <c r="F108" s="19" t="n">
        <f aca="false">COUNTIF(Responsibilities!$E:$E,A108)</f>
        <v>1</v>
      </c>
      <c r="G108" s="20" t="str">
        <f aca="false">IF(F108&gt;0,"YES","GAP")</f>
        <v>YES</v>
      </c>
    </row>
    <row r="109" customFormat="false" ht="22.35" hidden="false" customHeight="false" outlineLevel="0" collapsed="false">
      <c r="A109" s="19" t="s">
        <v>3911</v>
      </c>
      <c r="B109" s="19" t="s">
        <v>3912</v>
      </c>
      <c r="C109" s="19" t="s">
        <v>3907</v>
      </c>
      <c r="D109" s="19" t="s">
        <v>3908</v>
      </c>
      <c r="E109" s="19" t="s">
        <v>1135</v>
      </c>
      <c r="F109" s="19" t="n">
        <f aca="false">COUNTIF(Responsibilities!$E:$E,A109)</f>
        <v>1</v>
      </c>
      <c r="G109" s="20" t="str">
        <f aca="false">IF(F109&gt;0,"YES","GAP")</f>
        <v>YES</v>
      </c>
    </row>
    <row r="110" customFormat="false" ht="22.35" hidden="false" customHeight="false" outlineLevel="0" collapsed="false">
      <c r="A110" s="19" t="s">
        <v>3914</v>
      </c>
      <c r="B110" s="19" t="s">
        <v>3915</v>
      </c>
      <c r="C110" s="19" t="s">
        <v>3907</v>
      </c>
      <c r="D110" s="19" t="s">
        <v>3908</v>
      </c>
      <c r="E110" s="19" t="s">
        <v>1169</v>
      </c>
      <c r="F110" s="19" t="n">
        <f aca="false">COUNTIF(Responsibilities!$E:$E,A110)</f>
        <v>1</v>
      </c>
      <c r="G110" s="20" t="str">
        <f aca="false">IF(F110&gt;0,"YES","GAP")</f>
        <v>YES</v>
      </c>
    </row>
    <row r="111" customFormat="false" ht="22.35" hidden="false" customHeight="false" outlineLevel="0" collapsed="false">
      <c r="A111" s="19" t="s">
        <v>3917</v>
      </c>
      <c r="B111" s="19" t="s">
        <v>3918</v>
      </c>
      <c r="C111" s="19" t="s">
        <v>3907</v>
      </c>
      <c r="D111" s="19" t="s">
        <v>3908</v>
      </c>
      <c r="E111" s="19" t="s">
        <v>1157</v>
      </c>
      <c r="F111" s="19" t="n">
        <f aca="false">COUNTIF(Responsibilities!$E:$E,A111)</f>
        <v>1</v>
      </c>
      <c r="G111" s="20" t="str">
        <f aca="false">IF(F111&gt;0,"YES","GAP")</f>
        <v>YES</v>
      </c>
    </row>
    <row r="112" customFormat="false" ht="22.35" hidden="false" customHeight="false" outlineLevel="0" collapsed="false">
      <c r="A112" s="19" t="s">
        <v>3920</v>
      </c>
      <c r="B112" s="19" t="s">
        <v>3921</v>
      </c>
      <c r="C112" s="19" t="s">
        <v>3907</v>
      </c>
      <c r="D112" s="19" t="s">
        <v>3908</v>
      </c>
      <c r="E112" s="19" t="s">
        <v>1191</v>
      </c>
      <c r="F112" s="19" t="n">
        <f aca="false">COUNTIF(Responsibilities!$E:$E,A112)</f>
        <v>1</v>
      </c>
      <c r="G112" s="20" t="str">
        <f aca="false">IF(F112&gt;0,"YES","GAP")</f>
        <v>YES</v>
      </c>
    </row>
    <row r="113" customFormat="false" ht="22.35" hidden="false" customHeight="false" outlineLevel="0" collapsed="false">
      <c r="A113" s="19" t="s">
        <v>3923</v>
      </c>
      <c r="B113" s="19" t="s">
        <v>3924</v>
      </c>
      <c r="C113" s="19" t="s">
        <v>3907</v>
      </c>
      <c r="D113" s="19" t="s">
        <v>3908</v>
      </c>
      <c r="E113" s="19" t="s">
        <v>1135</v>
      </c>
      <c r="F113" s="19" t="n">
        <f aca="false">COUNTIF(Responsibilities!$E:$E,A113)</f>
        <v>1</v>
      </c>
      <c r="G113" s="20" t="str">
        <f aca="false">IF(F113&gt;0,"YES","GAP")</f>
        <v>YES</v>
      </c>
    </row>
    <row r="114" customFormat="false" ht="22.35" hidden="false" customHeight="false" outlineLevel="0" collapsed="false">
      <c r="A114" s="19" t="s">
        <v>3926</v>
      </c>
      <c r="B114" s="19" t="s">
        <v>3927</v>
      </c>
      <c r="C114" s="19" t="s">
        <v>3907</v>
      </c>
      <c r="D114" s="19" t="s">
        <v>3908</v>
      </c>
      <c r="E114" s="19" t="s">
        <v>1181</v>
      </c>
      <c r="F114" s="19" t="n">
        <f aca="false">COUNTIF(Responsibilities!$E:$E,A114)</f>
        <v>1</v>
      </c>
      <c r="G114" s="20" t="str">
        <f aca="false">IF(F114&gt;0,"YES","GAP")</f>
        <v>YES</v>
      </c>
    </row>
    <row r="115" customFormat="false" ht="22.35" hidden="false" customHeight="false" outlineLevel="0" collapsed="false">
      <c r="A115" s="19" t="s">
        <v>3929</v>
      </c>
      <c r="B115" s="19" t="s">
        <v>3930</v>
      </c>
      <c r="C115" s="19" t="s">
        <v>3907</v>
      </c>
      <c r="D115" s="19" t="s">
        <v>3908</v>
      </c>
      <c r="E115" s="19" t="s">
        <v>1135</v>
      </c>
      <c r="F115" s="19" t="n">
        <f aca="false">COUNTIF(Responsibilities!$E:$E,A115)</f>
        <v>1</v>
      </c>
      <c r="G115" s="20" t="str">
        <f aca="false">IF(F115&gt;0,"YES","GAP")</f>
        <v>YES</v>
      </c>
    </row>
    <row r="116" customFormat="false" ht="22.35" hidden="false" customHeight="false" outlineLevel="0" collapsed="false">
      <c r="A116" s="19" t="s">
        <v>3932</v>
      </c>
      <c r="B116" s="19" t="s">
        <v>3933</v>
      </c>
      <c r="C116" s="19" t="s">
        <v>3907</v>
      </c>
      <c r="D116" s="19" t="s">
        <v>3908</v>
      </c>
      <c r="E116" s="19" t="s">
        <v>1074</v>
      </c>
      <c r="F116" s="19" t="n">
        <f aca="false">COUNTIF(Responsibilities!$E:$E,A116)</f>
        <v>1</v>
      </c>
      <c r="G116" s="20" t="str">
        <f aca="false">IF(F116&gt;0,"YES","GAP")</f>
        <v>YES</v>
      </c>
    </row>
    <row r="117" customFormat="false" ht="32.8" hidden="false" customHeight="false" outlineLevel="0" collapsed="false">
      <c r="A117" s="19" t="s">
        <v>3935</v>
      </c>
      <c r="B117" s="19" t="s">
        <v>4646</v>
      </c>
      <c r="C117" s="19" t="s">
        <v>3937</v>
      </c>
      <c r="D117" s="19" t="s">
        <v>3938</v>
      </c>
      <c r="E117" s="19" t="s">
        <v>716</v>
      </c>
      <c r="F117" s="19" t="n">
        <f aca="false">COUNTIF(Responsibilities!$E:$E,A117)</f>
        <v>1</v>
      </c>
      <c r="G117" s="20" t="str">
        <f aca="false">IF(F117&gt;0,"YES","GAP")</f>
        <v>YES</v>
      </c>
    </row>
    <row r="118" customFormat="false" ht="22.35" hidden="false" customHeight="false" outlineLevel="0" collapsed="false">
      <c r="A118" s="19" t="s">
        <v>3942</v>
      </c>
      <c r="B118" s="19" t="s">
        <v>3943</v>
      </c>
      <c r="C118" s="19" t="s">
        <v>3937</v>
      </c>
      <c r="D118" s="19" t="s">
        <v>3944</v>
      </c>
      <c r="E118" s="19" t="s">
        <v>1019</v>
      </c>
      <c r="F118" s="19" t="n">
        <f aca="false">COUNTIF(Responsibilities!$E:$E,A118)</f>
        <v>1</v>
      </c>
      <c r="G118" s="20" t="str">
        <f aca="false">IF(F118&gt;0,"YES","GAP")</f>
        <v>YES</v>
      </c>
    </row>
    <row r="119" customFormat="false" ht="32.8" hidden="false" customHeight="false" outlineLevel="0" collapsed="false">
      <c r="A119" s="19" t="s">
        <v>3946</v>
      </c>
      <c r="B119" s="19" t="s">
        <v>4647</v>
      </c>
      <c r="C119" s="19" t="s">
        <v>3937</v>
      </c>
      <c r="D119" s="19" t="s">
        <v>3948</v>
      </c>
      <c r="E119" s="19" t="s">
        <v>174</v>
      </c>
      <c r="F119" s="19" t="n">
        <f aca="false">COUNTIF(Responsibilities!$E:$E,A119)</f>
        <v>1</v>
      </c>
      <c r="G119" s="20" t="str">
        <f aca="false">IF(F119&gt;0,"YES","GAP")</f>
        <v>YES</v>
      </c>
    </row>
    <row r="120" customFormat="false" ht="32.8" hidden="false" customHeight="false" outlineLevel="0" collapsed="false">
      <c r="A120" s="19" t="s">
        <v>3950</v>
      </c>
      <c r="B120" s="19" t="s">
        <v>4648</v>
      </c>
      <c r="C120" s="19" t="s">
        <v>3937</v>
      </c>
      <c r="D120" s="19" t="s">
        <v>3952</v>
      </c>
      <c r="E120" s="19" t="s">
        <v>452</v>
      </c>
      <c r="F120" s="19" t="n">
        <f aca="false">COUNTIF(Responsibilities!$E:$E,A120)</f>
        <v>1</v>
      </c>
      <c r="G120" s="20" t="str">
        <f aca="false">IF(F120&gt;0,"YES","GAP")</f>
        <v>YES</v>
      </c>
    </row>
    <row r="121" customFormat="false" ht="22.35" hidden="false" customHeight="false" outlineLevel="0" collapsed="false">
      <c r="A121" s="19" t="s">
        <v>3954</v>
      </c>
      <c r="B121" s="19" t="s">
        <v>3955</v>
      </c>
      <c r="C121" s="19" t="s">
        <v>3956</v>
      </c>
      <c r="D121" s="19" t="s">
        <v>3957</v>
      </c>
      <c r="E121" s="19" t="s">
        <v>187</v>
      </c>
      <c r="F121" s="19" t="n">
        <f aca="false">COUNTIF(Responsibilities!$E:$E,A121)</f>
        <v>1</v>
      </c>
      <c r="G121" s="20" t="str">
        <f aca="false">IF(F121&gt;0,"YES","GAP")</f>
        <v>YES</v>
      </c>
    </row>
    <row r="122" customFormat="false" ht="22.35" hidden="false" customHeight="false" outlineLevel="0" collapsed="false">
      <c r="A122" s="19" t="s">
        <v>3959</v>
      </c>
      <c r="B122" s="19" t="s">
        <v>3960</v>
      </c>
      <c r="C122" s="19" t="s">
        <v>3956</v>
      </c>
      <c r="D122" s="19" t="s">
        <v>3957</v>
      </c>
      <c r="E122" s="19" t="s">
        <v>187</v>
      </c>
      <c r="F122" s="19" t="n">
        <f aca="false">COUNTIF(Responsibilities!$E:$E,A122)</f>
        <v>1</v>
      </c>
      <c r="G122" s="20" t="str">
        <f aca="false">IF(F122&gt;0,"YES","GAP")</f>
        <v>YES</v>
      </c>
    </row>
    <row r="123" customFormat="false" ht="22.35" hidden="false" customHeight="false" outlineLevel="0" collapsed="false">
      <c r="A123" s="19" t="s">
        <v>3962</v>
      </c>
      <c r="B123" s="19" t="s">
        <v>3963</v>
      </c>
      <c r="C123" s="19" t="s">
        <v>3956</v>
      </c>
      <c r="D123" s="19" t="s">
        <v>3957</v>
      </c>
      <c r="E123" s="19" t="s">
        <v>187</v>
      </c>
      <c r="F123" s="19" t="n">
        <f aca="false">COUNTIF(Responsibilities!$E:$E,A123)</f>
        <v>1</v>
      </c>
      <c r="G123" s="20" t="str">
        <f aca="false">IF(F123&gt;0,"YES","GAP")</f>
        <v>YES</v>
      </c>
    </row>
    <row r="124" customFormat="false" ht="22.35" hidden="false" customHeight="false" outlineLevel="0" collapsed="false">
      <c r="A124" s="19" t="s">
        <v>3965</v>
      </c>
      <c r="B124" s="19" t="s">
        <v>3966</v>
      </c>
      <c r="C124" s="19" t="s">
        <v>3956</v>
      </c>
      <c r="D124" s="19" t="s">
        <v>3957</v>
      </c>
      <c r="E124" s="19" t="s">
        <v>187</v>
      </c>
      <c r="F124" s="19" t="n">
        <f aca="false">COUNTIF(Responsibilities!$E:$E,A124)</f>
        <v>1</v>
      </c>
      <c r="G124" s="20" t="str">
        <f aca="false">IF(F124&gt;0,"YES","GAP")</f>
        <v>YES</v>
      </c>
    </row>
    <row r="125" customFormat="false" ht="22.35" hidden="false" customHeight="false" outlineLevel="0" collapsed="false">
      <c r="A125" s="19" t="s">
        <v>3968</v>
      </c>
      <c r="B125" s="19" t="s">
        <v>3969</v>
      </c>
      <c r="C125" s="19" t="s">
        <v>3956</v>
      </c>
      <c r="D125" s="19" t="s">
        <v>3957</v>
      </c>
      <c r="E125" s="19" t="s">
        <v>187</v>
      </c>
      <c r="F125" s="19" t="n">
        <f aca="false">COUNTIF(Responsibilities!$E:$E,A125)</f>
        <v>1</v>
      </c>
      <c r="G125" s="20" t="str">
        <f aca="false">IF(F125&gt;0,"YES","GAP")</f>
        <v>YES</v>
      </c>
    </row>
    <row r="126" customFormat="false" ht="22.35" hidden="false" customHeight="false" outlineLevel="0" collapsed="false">
      <c r="A126" s="19" t="s">
        <v>3971</v>
      </c>
      <c r="B126" s="19" t="s">
        <v>3972</v>
      </c>
      <c r="C126" s="19" t="s">
        <v>3956</v>
      </c>
      <c r="D126" s="19" t="s">
        <v>3957</v>
      </c>
      <c r="E126" s="19" t="s">
        <v>187</v>
      </c>
      <c r="F126" s="19" t="n">
        <f aca="false">COUNTIF(Responsibilities!$E:$E,A126)</f>
        <v>1</v>
      </c>
      <c r="G126" s="20" t="str">
        <f aca="false">IF(F126&gt;0,"YES","GAP")</f>
        <v>YES</v>
      </c>
    </row>
    <row r="127" customFormat="false" ht="22.35" hidden="false" customHeight="false" outlineLevel="0" collapsed="false">
      <c r="A127" s="19" t="s">
        <v>3974</v>
      </c>
      <c r="B127" s="19" t="s">
        <v>3975</v>
      </c>
      <c r="C127" s="19" t="s">
        <v>3956</v>
      </c>
      <c r="D127" s="19" t="s">
        <v>3957</v>
      </c>
      <c r="E127" s="19" t="s">
        <v>187</v>
      </c>
      <c r="F127" s="19" t="n">
        <f aca="false">COUNTIF(Responsibilities!$E:$E,A127)</f>
        <v>1</v>
      </c>
      <c r="G127" s="20" t="str">
        <f aca="false">IF(F127&gt;0,"YES","GAP")</f>
        <v>YES</v>
      </c>
    </row>
    <row r="128" customFormat="false" ht="22.35" hidden="false" customHeight="false" outlineLevel="0" collapsed="false">
      <c r="A128" s="19" t="s">
        <v>3977</v>
      </c>
      <c r="B128" s="19" t="s">
        <v>3978</v>
      </c>
      <c r="C128" s="19" t="s">
        <v>3956</v>
      </c>
      <c r="D128" s="19" t="s">
        <v>3957</v>
      </c>
      <c r="E128" s="19" t="s">
        <v>187</v>
      </c>
      <c r="F128" s="19" t="n">
        <f aca="false">COUNTIF(Responsibilities!$E:$E,A128)</f>
        <v>1</v>
      </c>
      <c r="G128" s="20" t="str">
        <f aca="false">IF(F128&gt;0,"YES","GAP")</f>
        <v>YES</v>
      </c>
    </row>
    <row r="129" customFormat="false" ht="22.35" hidden="false" customHeight="false" outlineLevel="0" collapsed="false">
      <c r="A129" s="19" t="s">
        <v>3980</v>
      </c>
      <c r="B129" s="19" t="s">
        <v>3981</v>
      </c>
      <c r="C129" s="19" t="s">
        <v>3956</v>
      </c>
      <c r="D129" s="19" t="s">
        <v>3957</v>
      </c>
      <c r="E129" s="19" t="s">
        <v>346</v>
      </c>
      <c r="F129" s="19" t="n">
        <f aca="false">COUNTIF(Responsibilities!$E:$E,A129)</f>
        <v>1</v>
      </c>
      <c r="G129" s="20" t="str">
        <f aca="false">IF(F129&gt;0,"YES","GAP")</f>
        <v>YES</v>
      </c>
    </row>
    <row r="130" customFormat="false" ht="22.35" hidden="false" customHeight="false" outlineLevel="0" collapsed="false">
      <c r="A130" s="19" t="s">
        <v>3983</v>
      </c>
      <c r="B130" s="19" t="s">
        <v>3984</v>
      </c>
      <c r="C130" s="19" t="s">
        <v>3956</v>
      </c>
      <c r="D130" s="19" t="s">
        <v>3957</v>
      </c>
      <c r="E130" s="19" t="s">
        <v>220</v>
      </c>
      <c r="F130" s="19" t="n">
        <f aca="false">COUNTIF(Responsibilities!$E:$E,A130)</f>
        <v>1</v>
      </c>
      <c r="G130" s="20" t="str">
        <f aca="false">IF(F130&gt;0,"YES","GAP")</f>
        <v>YES</v>
      </c>
    </row>
    <row r="131" customFormat="false" ht="32.8" hidden="false" customHeight="false" outlineLevel="0" collapsed="false">
      <c r="A131" s="19" t="s">
        <v>3987</v>
      </c>
      <c r="B131" s="19" t="s">
        <v>3988</v>
      </c>
      <c r="C131" s="19" t="s">
        <v>3956</v>
      </c>
      <c r="D131" s="19" t="s">
        <v>3957</v>
      </c>
      <c r="E131" s="19" t="s">
        <v>220</v>
      </c>
      <c r="F131" s="19" t="n">
        <f aca="false">COUNTIF(Responsibilities!$E:$E,A131)</f>
        <v>1</v>
      </c>
      <c r="G131" s="20" t="str">
        <f aca="false">IF(F131&gt;0,"YES","GAP")</f>
        <v>YES</v>
      </c>
    </row>
    <row r="132" customFormat="false" ht="22.35" hidden="false" customHeight="false" outlineLevel="0" collapsed="false">
      <c r="A132" s="19" t="s">
        <v>3990</v>
      </c>
      <c r="B132" s="19" t="s">
        <v>3991</v>
      </c>
      <c r="C132" s="19" t="s">
        <v>3956</v>
      </c>
      <c r="D132" s="19" t="s">
        <v>3957</v>
      </c>
      <c r="E132" s="19" t="s">
        <v>220</v>
      </c>
      <c r="F132" s="19" t="n">
        <f aca="false">COUNTIF(Responsibilities!$E:$E,A132)</f>
        <v>1</v>
      </c>
      <c r="G132" s="20" t="str">
        <f aca="false">IF(F132&gt;0,"YES","GAP")</f>
        <v>YES</v>
      </c>
    </row>
    <row r="133" customFormat="false" ht="22.35" hidden="false" customHeight="false" outlineLevel="0" collapsed="false">
      <c r="A133" s="19" t="s">
        <v>3993</v>
      </c>
      <c r="B133" s="19" t="s">
        <v>3994</v>
      </c>
      <c r="C133" s="19" t="s">
        <v>3995</v>
      </c>
      <c r="D133" s="19" t="s">
        <v>3996</v>
      </c>
      <c r="E133" s="19" t="s">
        <v>1256</v>
      </c>
      <c r="F133" s="19" t="n">
        <f aca="false">COUNTIF(Responsibilities!$E:$E,A133)</f>
        <v>1</v>
      </c>
      <c r="G133" s="20" t="str">
        <f aca="false">IF(F133&gt;0,"YES","GAP")</f>
        <v>YES</v>
      </c>
    </row>
    <row r="134" customFormat="false" ht="22.35" hidden="false" customHeight="false" outlineLevel="0" collapsed="false">
      <c r="A134" s="19" t="s">
        <v>3999</v>
      </c>
      <c r="B134" s="19" t="s">
        <v>4000</v>
      </c>
      <c r="C134" s="19" t="s">
        <v>3995</v>
      </c>
      <c r="D134" s="19" t="s">
        <v>3996</v>
      </c>
      <c r="E134" s="19" t="s">
        <v>1222</v>
      </c>
      <c r="F134" s="19" t="n">
        <f aca="false">COUNTIF(Responsibilities!$E:$E,A134)</f>
        <v>1</v>
      </c>
      <c r="G134" s="20" t="str">
        <f aca="false">IF(F134&gt;0,"YES","GAP")</f>
        <v>YES</v>
      </c>
    </row>
    <row r="135" customFormat="false" ht="22.35" hidden="false" customHeight="false" outlineLevel="0" collapsed="false">
      <c r="A135" s="19" t="s">
        <v>4002</v>
      </c>
      <c r="B135" s="19" t="s">
        <v>4003</v>
      </c>
      <c r="C135" s="19" t="s">
        <v>3995</v>
      </c>
      <c r="D135" s="19" t="s">
        <v>3996</v>
      </c>
      <c r="E135" s="19" t="s">
        <v>1233</v>
      </c>
      <c r="F135" s="19" t="n">
        <f aca="false">COUNTIF(Responsibilities!$E:$E,A135)</f>
        <v>1</v>
      </c>
      <c r="G135" s="20" t="str">
        <f aca="false">IF(F135&gt;0,"YES","GAP")</f>
        <v>YES</v>
      </c>
    </row>
    <row r="136" customFormat="false" ht="22.35" hidden="false" customHeight="false" outlineLevel="0" collapsed="false">
      <c r="A136" s="19" t="s">
        <v>4005</v>
      </c>
      <c r="B136" s="19" t="s">
        <v>4006</v>
      </c>
      <c r="C136" s="19" t="s">
        <v>3995</v>
      </c>
      <c r="D136" s="19" t="s">
        <v>3996</v>
      </c>
      <c r="E136" s="19" t="s">
        <v>997</v>
      </c>
      <c r="F136" s="19" t="n">
        <f aca="false">COUNTIF(Responsibilities!$E:$E,A136)</f>
        <v>1</v>
      </c>
      <c r="G136" s="20" t="str">
        <f aca="false">IF(F136&gt;0,"YES","GAP")</f>
        <v>YES</v>
      </c>
    </row>
    <row r="137" customFormat="false" ht="22.35" hidden="false" customHeight="false" outlineLevel="0" collapsed="false">
      <c r="A137" s="19" t="s">
        <v>4008</v>
      </c>
      <c r="B137" s="19" t="s">
        <v>4009</v>
      </c>
      <c r="C137" s="19" t="s">
        <v>3995</v>
      </c>
      <c r="D137" s="19" t="s">
        <v>3996</v>
      </c>
      <c r="E137" s="19" t="s">
        <v>906</v>
      </c>
      <c r="F137" s="19" t="n">
        <f aca="false">COUNTIF(Responsibilities!$E:$E,A137)</f>
        <v>1</v>
      </c>
      <c r="G137" s="20" t="str">
        <f aca="false">IF(F137&gt;0,"YES","GAP")</f>
        <v>YES</v>
      </c>
    </row>
    <row r="138" customFormat="false" ht="22.35" hidden="false" customHeight="false" outlineLevel="0" collapsed="false">
      <c r="A138" s="19" t="s">
        <v>4011</v>
      </c>
      <c r="B138" s="19" t="s">
        <v>4012</v>
      </c>
      <c r="C138" s="19" t="s">
        <v>4013</v>
      </c>
      <c r="D138" s="19" t="s">
        <v>4014</v>
      </c>
      <c r="E138" s="19" t="s">
        <v>302</v>
      </c>
      <c r="F138" s="19" t="n">
        <f aca="false">COUNTIF(Responsibilities!$E:$E,A138)</f>
        <v>1</v>
      </c>
      <c r="G138" s="20" t="str">
        <f aca="false">IF(F138&gt;0,"YES","GAP")</f>
        <v>YES</v>
      </c>
    </row>
    <row r="139" customFormat="false" ht="22.35" hidden="false" customHeight="false" outlineLevel="0" collapsed="false">
      <c r="A139" s="19" t="s">
        <v>4017</v>
      </c>
      <c r="B139" s="19" t="s">
        <v>4018</v>
      </c>
      <c r="C139" s="19" t="s">
        <v>4013</v>
      </c>
      <c r="D139" s="19" t="s">
        <v>4014</v>
      </c>
      <c r="E139" s="19" t="s">
        <v>1279</v>
      </c>
      <c r="F139" s="19" t="n">
        <f aca="false">COUNTIF(Responsibilities!$E:$E,A139)</f>
        <v>1</v>
      </c>
      <c r="G139" s="20" t="str">
        <f aca="false">IF(F139&gt;0,"YES","GAP")</f>
        <v>YES</v>
      </c>
    </row>
    <row r="140" customFormat="false" ht="22.35" hidden="false" customHeight="false" outlineLevel="0" collapsed="false">
      <c r="A140" s="19" t="s">
        <v>4020</v>
      </c>
      <c r="B140" s="19" t="s">
        <v>4021</v>
      </c>
      <c r="C140" s="19" t="s">
        <v>4013</v>
      </c>
      <c r="D140" s="19" t="s">
        <v>4014</v>
      </c>
      <c r="E140" s="19" t="s">
        <v>1191</v>
      </c>
      <c r="F140" s="19" t="n">
        <f aca="false">COUNTIF(Responsibilities!$E:$E,A140)</f>
        <v>1</v>
      </c>
      <c r="G140" s="20" t="str">
        <f aca="false">IF(F140&gt;0,"YES","GAP")</f>
        <v>YES</v>
      </c>
    </row>
    <row r="141" customFormat="false" ht="22.35" hidden="false" customHeight="false" outlineLevel="0" collapsed="false">
      <c r="A141" s="19" t="s">
        <v>4023</v>
      </c>
      <c r="B141" s="19" t="s">
        <v>4024</v>
      </c>
      <c r="C141" s="19" t="s">
        <v>4013</v>
      </c>
      <c r="D141" s="19" t="s">
        <v>4014</v>
      </c>
      <c r="E141" s="19" t="s">
        <v>997</v>
      </c>
      <c r="F141" s="19" t="n">
        <f aca="false">COUNTIF(Responsibilities!$E:$E,A141)</f>
        <v>1</v>
      </c>
      <c r="G141" s="20" t="str">
        <f aca="false">IF(F141&gt;0,"YES","GAP")</f>
        <v>YES</v>
      </c>
    </row>
    <row r="142" customFormat="false" ht="22.35" hidden="false" customHeight="false" outlineLevel="0" collapsed="false">
      <c r="A142" s="19" t="s">
        <v>4026</v>
      </c>
      <c r="B142" s="19" t="s">
        <v>4027</v>
      </c>
      <c r="C142" s="19" t="s">
        <v>4013</v>
      </c>
      <c r="D142" s="19" t="s">
        <v>4014</v>
      </c>
      <c r="E142" s="19" t="s">
        <v>261</v>
      </c>
      <c r="F142" s="19" t="n">
        <f aca="false">COUNTIF(Responsibilities!$E:$E,A142)</f>
        <v>1</v>
      </c>
      <c r="G142" s="20" t="str">
        <f aca="false">IF(F142&gt;0,"YES","GAP")</f>
        <v>YES</v>
      </c>
    </row>
    <row r="143" customFormat="false" ht="22.35" hidden="false" customHeight="false" outlineLevel="0" collapsed="false">
      <c r="A143" s="19" t="s">
        <v>4029</v>
      </c>
      <c r="B143" s="19" t="s">
        <v>4030</v>
      </c>
      <c r="C143" s="19" t="s">
        <v>4031</v>
      </c>
      <c r="D143" s="19" t="s">
        <v>113</v>
      </c>
      <c r="E143" s="19" t="s">
        <v>103</v>
      </c>
      <c r="F143" s="19" t="n">
        <f aca="false">COUNTIF(Responsibilities!$E:$E,A143)</f>
        <v>1</v>
      </c>
      <c r="G143" s="20" t="str">
        <f aca="false">IF(F143&gt;0,"YES","GAP")</f>
        <v>YES</v>
      </c>
    </row>
    <row r="144" customFormat="false" ht="15" hidden="false" customHeight="false" outlineLevel="0" collapsed="false">
      <c r="A144" s="19" t="s">
        <v>4037</v>
      </c>
      <c r="B144" s="19" t="s">
        <v>4038</v>
      </c>
      <c r="C144" s="19" t="s">
        <v>4031</v>
      </c>
      <c r="D144" s="19" t="s">
        <v>113</v>
      </c>
      <c r="E144" s="19" t="s">
        <v>103</v>
      </c>
      <c r="F144" s="19" t="n">
        <f aca="false">COUNTIF(Responsibilities!$E:$E,A144)</f>
        <v>1</v>
      </c>
      <c r="G144" s="20" t="str">
        <f aca="false">IF(F144&gt;0,"YES","GAP")</f>
        <v>YES</v>
      </c>
    </row>
    <row r="145" customFormat="false" ht="15" hidden="false" customHeight="false" outlineLevel="0" collapsed="false">
      <c r="A145" s="19" t="s">
        <v>4040</v>
      </c>
      <c r="B145" s="19" t="s">
        <v>4041</v>
      </c>
      <c r="C145" s="19" t="s">
        <v>4031</v>
      </c>
      <c r="D145" s="19" t="s">
        <v>113</v>
      </c>
      <c r="E145" s="19" t="s">
        <v>103</v>
      </c>
      <c r="F145" s="19" t="n">
        <f aca="false">COUNTIF(Responsibilities!$E:$E,A145)</f>
        <v>1</v>
      </c>
      <c r="G145" s="20" t="str">
        <f aca="false">IF(F145&gt;0,"YES","GAP")</f>
        <v>YES</v>
      </c>
    </row>
    <row r="146" customFormat="false" ht="15" hidden="false" customHeight="false" outlineLevel="0" collapsed="false">
      <c r="A146" s="19" t="s">
        <v>4043</v>
      </c>
      <c r="B146" s="19" t="s">
        <v>4044</v>
      </c>
      <c r="C146" s="19" t="s">
        <v>4031</v>
      </c>
      <c r="D146" s="19" t="s">
        <v>113</v>
      </c>
      <c r="E146" s="19" t="s">
        <v>103</v>
      </c>
      <c r="F146" s="19" t="n">
        <f aca="false">COUNTIF(Responsibilities!$E:$E,A146)</f>
        <v>1</v>
      </c>
      <c r="G146" s="20" t="str">
        <f aca="false">IF(F146&gt;0,"YES","GAP")</f>
        <v>YES</v>
      </c>
    </row>
    <row r="147" customFormat="false" ht="15" hidden="false" customHeight="false" outlineLevel="0" collapsed="false">
      <c r="A147" s="19" t="s">
        <v>4046</v>
      </c>
      <c r="B147" s="19" t="s">
        <v>4047</v>
      </c>
      <c r="C147" s="19" t="s">
        <v>4031</v>
      </c>
      <c r="D147" s="19" t="s">
        <v>113</v>
      </c>
      <c r="E147" s="19" t="s">
        <v>103</v>
      </c>
      <c r="F147" s="19" t="n">
        <f aca="false">COUNTIF(Responsibilities!$E:$E,A147)</f>
        <v>1</v>
      </c>
      <c r="G147" s="20" t="str">
        <f aca="false">IF(F147&gt;0,"YES","GAP")</f>
        <v>YES</v>
      </c>
    </row>
    <row r="148" customFormat="false" ht="15" hidden="false" customHeight="false" outlineLevel="0" collapsed="false">
      <c r="A148" s="19" t="s">
        <v>4049</v>
      </c>
      <c r="B148" s="19" t="s">
        <v>4050</v>
      </c>
      <c r="C148" s="19" t="s">
        <v>4031</v>
      </c>
      <c r="D148" s="19" t="s">
        <v>113</v>
      </c>
      <c r="E148" s="19" t="s">
        <v>103</v>
      </c>
      <c r="F148" s="19" t="n">
        <f aca="false">COUNTIF(Responsibilities!$E:$E,A148)</f>
        <v>1</v>
      </c>
      <c r="G148" s="20" t="str">
        <f aca="false">IF(F148&gt;0,"YES","GAP")</f>
        <v>YES</v>
      </c>
    </row>
    <row r="149" customFormat="false" ht="15" hidden="false" customHeight="false" outlineLevel="0" collapsed="false">
      <c r="A149" s="19" t="s">
        <v>4052</v>
      </c>
      <c r="B149" s="19" t="s">
        <v>4053</v>
      </c>
      <c r="C149" s="19" t="s">
        <v>4031</v>
      </c>
      <c r="D149" s="19" t="s">
        <v>113</v>
      </c>
      <c r="E149" s="19" t="s">
        <v>103</v>
      </c>
      <c r="F149" s="19" t="n">
        <f aca="false">COUNTIF(Responsibilities!$E:$E,A149)</f>
        <v>1</v>
      </c>
      <c r="G149" s="20" t="str">
        <f aca="false">IF(F149&gt;0,"YES","GAP")</f>
        <v>YES</v>
      </c>
    </row>
    <row r="150" customFormat="false" ht="15" hidden="false" customHeight="false" outlineLevel="0" collapsed="false">
      <c r="A150" s="19" t="s">
        <v>4055</v>
      </c>
      <c r="B150" s="19" t="s">
        <v>4056</v>
      </c>
      <c r="C150" s="19" t="s">
        <v>4057</v>
      </c>
      <c r="D150" s="19" t="s">
        <v>4058</v>
      </c>
      <c r="E150" s="19" t="s">
        <v>47</v>
      </c>
      <c r="F150" s="19" t="n">
        <f aca="false">COUNTIF(Responsibilities!$E:$E,A150)</f>
        <v>1</v>
      </c>
      <c r="G150" s="20" t="str">
        <f aca="false">IF(F150&gt;0,"YES","GAP")</f>
        <v>YES</v>
      </c>
    </row>
    <row r="151" customFormat="false" ht="15" hidden="false" customHeight="false" outlineLevel="0" collapsed="false">
      <c r="A151" s="19" t="s">
        <v>4064</v>
      </c>
      <c r="B151" s="19" t="s">
        <v>4065</v>
      </c>
      <c r="C151" s="19" t="s">
        <v>4057</v>
      </c>
      <c r="D151" s="19" t="s">
        <v>4058</v>
      </c>
      <c r="E151" s="19" t="s">
        <v>47</v>
      </c>
      <c r="F151" s="19" t="n">
        <f aca="false">COUNTIF(Responsibilities!$E:$E,A151)</f>
        <v>1</v>
      </c>
      <c r="G151" s="20" t="str">
        <f aca="false">IF(F151&gt;0,"YES","GAP")</f>
        <v>YES</v>
      </c>
    </row>
    <row r="152" customFormat="false" ht="15" hidden="false" customHeight="false" outlineLevel="0" collapsed="false">
      <c r="A152" s="19" t="s">
        <v>4067</v>
      </c>
      <c r="B152" s="19" t="s">
        <v>4068</v>
      </c>
      <c r="C152" s="19" t="s">
        <v>4057</v>
      </c>
      <c r="D152" s="19" t="s">
        <v>4058</v>
      </c>
      <c r="E152" s="19" t="s">
        <v>47</v>
      </c>
      <c r="F152" s="19" t="n">
        <f aca="false">COUNTIF(Responsibilities!$E:$E,A152)</f>
        <v>1</v>
      </c>
      <c r="G152" s="20" t="str">
        <f aca="false">IF(F152&gt;0,"YES","GAP")</f>
        <v>YES</v>
      </c>
    </row>
    <row r="153" customFormat="false" ht="15" hidden="false" customHeight="false" outlineLevel="0" collapsed="false">
      <c r="A153" s="19" t="s">
        <v>4070</v>
      </c>
      <c r="B153" s="19" t="s">
        <v>4071</v>
      </c>
      <c r="C153" s="19" t="s">
        <v>4057</v>
      </c>
      <c r="D153" s="19" t="s">
        <v>4058</v>
      </c>
      <c r="E153" s="19" t="s">
        <v>47</v>
      </c>
      <c r="F153" s="19" t="n">
        <f aca="false">COUNTIF(Responsibilities!$E:$E,A153)</f>
        <v>1</v>
      </c>
      <c r="G153" s="20" t="str">
        <f aca="false">IF(F153&gt;0,"YES","GAP")</f>
        <v>YES</v>
      </c>
    </row>
    <row r="154" customFormat="false" ht="15" hidden="false" customHeight="false" outlineLevel="0" collapsed="false">
      <c r="A154" s="19" t="s">
        <v>4073</v>
      </c>
      <c r="B154" s="19" t="s">
        <v>4074</v>
      </c>
      <c r="C154" s="19" t="s">
        <v>4075</v>
      </c>
      <c r="D154" s="19" t="s">
        <v>4076</v>
      </c>
      <c r="E154" s="19" t="s">
        <v>103</v>
      </c>
      <c r="F154" s="19" t="n">
        <f aca="false">COUNTIF(Responsibilities!$E:$E,A154)</f>
        <v>1</v>
      </c>
      <c r="G154" s="20" t="str">
        <f aca="false">IF(F154&gt;0,"YES","GAP")</f>
        <v>YES</v>
      </c>
    </row>
    <row r="155" customFormat="false" ht="15" hidden="false" customHeight="false" outlineLevel="0" collapsed="false">
      <c r="A155" s="19" t="s">
        <v>4081</v>
      </c>
      <c r="B155" s="19" t="s">
        <v>4082</v>
      </c>
      <c r="C155" s="19" t="s">
        <v>4075</v>
      </c>
      <c r="D155" s="19" t="s">
        <v>4076</v>
      </c>
      <c r="E155" s="19" t="s">
        <v>103</v>
      </c>
      <c r="F155" s="19" t="n">
        <f aca="false">COUNTIF(Responsibilities!$E:$E,A155)</f>
        <v>1</v>
      </c>
      <c r="G155" s="20" t="str">
        <f aca="false">IF(F155&gt;0,"YES","GAP")</f>
        <v>YES</v>
      </c>
    </row>
    <row r="156" customFormat="false" ht="22.35" hidden="false" customHeight="false" outlineLevel="0" collapsed="false">
      <c r="A156" s="19" t="s">
        <v>4084</v>
      </c>
      <c r="B156" s="19" t="s">
        <v>4085</v>
      </c>
      <c r="C156" s="19" t="s">
        <v>4075</v>
      </c>
      <c r="D156" s="19" t="s">
        <v>4076</v>
      </c>
      <c r="E156" s="19" t="s">
        <v>103</v>
      </c>
      <c r="F156" s="19" t="n">
        <f aca="false">COUNTIF(Responsibilities!$E:$E,A156)</f>
        <v>1</v>
      </c>
      <c r="G156" s="20" t="str">
        <f aca="false">IF(F156&gt;0,"YES","GAP")</f>
        <v>YES</v>
      </c>
    </row>
    <row r="157" customFormat="false" ht="22.35" hidden="false" customHeight="false" outlineLevel="0" collapsed="false">
      <c r="A157" s="19" t="s">
        <v>4087</v>
      </c>
      <c r="B157" s="19" t="s">
        <v>4088</v>
      </c>
      <c r="C157" s="19" t="s">
        <v>4075</v>
      </c>
      <c r="D157" s="19" t="s">
        <v>4076</v>
      </c>
      <c r="E157" s="19" t="s">
        <v>103</v>
      </c>
      <c r="F157" s="19" t="n">
        <f aca="false">COUNTIF(Responsibilities!$E:$E,A157)</f>
        <v>1</v>
      </c>
      <c r="G157" s="20" t="str">
        <f aca="false">IF(F157&gt;0,"YES","GAP")</f>
        <v>YES</v>
      </c>
    </row>
    <row r="158" customFormat="false" ht="22.35" hidden="false" customHeight="false" outlineLevel="0" collapsed="false">
      <c r="A158" s="19" t="s">
        <v>4090</v>
      </c>
      <c r="B158" s="19" t="s">
        <v>4091</v>
      </c>
      <c r="C158" s="19" t="s">
        <v>4075</v>
      </c>
      <c r="D158" s="19" t="s">
        <v>4076</v>
      </c>
      <c r="E158" s="19" t="s">
        <v>103</v>
      </c>
      <c r="F158" s="19" t="n">
        <f aca="false">COUNTIF(Responsibilities!$E:$E,A158)</f>
        <v>1</v>
      </c>
      <c r="G158" s="20" t="str">
        <f aca="false">IF(F158&gt;0,"YES","GAP")</f>
        <v>YES</v>
      </c>
    </row>
    <row r="159" customFormat="false" ht="22.35" hidden="false" customHeight="false" outlineLevel="0" collapsed="false">
      <c r="A159" s="19" t="s">
        <v>4093</v>
      </c>
      <c r="B159" s="19" t="s">
        <v>4094</v>
      </c>
      <c r="C159" s="19" t="s">
        <v>4075</v>
      </c>
      <c r="D159" s="19" t="s">
        <v>4076</v>
      </c>
      <c r="E159" s="19" t="s">
        <v>103</v>
      </c>
      <c r="F159" s="19" t="n">
        <f aca="false">COUNTIF(Responsibilities!$E:$E,A159)</f>
        <v>1</v>
      </c>
      <c r="G159" s="20" t="str">
        <f aca="false">IF(F159&gt;0,"YES","GAP")</f>
        <v>YES</v>
      </c>
    </row>
    <row r="160" customFormat="false" ht="22.35" hidden="false" customHeight="false" outlineLevel="0" collapsed="false">
      <c r="A160" s="19" t="s">
        <v>4096</v>
      </c>
      <c r="B160" s="19" t="s">
        <v>4097</v>
      </c>
      <c r="C160" s="19" t="s">
        <v>4098</v>
      </c>
      <c r="D160" s="19" t="s">
        <v>4099</v>
      </c>
      <c r="E160" s="19" t="s">
        <v>153</v>
      </c>
      <c r="F160" s="19" t="n">
        <f aca="false">COUNTIF(Responsibilities!$E:$E,A160)</f>
        <v>1</v>
      </c>
      <c r="G160" s="20" t="str">
        <f aca="false">IF(F160&gt;0,"YES","GAP")</f>
        <v>YES</v>
      </c>
    </row>
    <row r="161" customFormat="false" ht="22.35" hidden="false" customHeight="false" outlineLevel="0" collapsed="false">
      <c r="A161" s="19" t="s">
        <v>4104</v>
      </c>
      <c r="B161" s="19" t="s">
        <v>4105</v>
      </c>
      <c r="C161" s="19" t="s">
        <v>4098</v>
      </c>
      <c r="D161" s="19" t="s">
        <v>4099</v>
      </c>
      <c r="E161" s="19" t="s">
        <v>153</v>
      </c>
      <c r="F161" s="19" t="n">
        <f aca="false">COUNTIF(Responsibilities!$E:$E,A161)</f>
        <v>1</v>
      </c>
      <c r="G161" s="20" t="str">
        <f aca="false">IF(F161&gt;0,"YES","GAP")</f>
        <v>YES</v>
      </c>
    </row>
    <row r="162" customFormat="false" ht="22.35" hidden="false" customHeight="false" outlineLevel="0" collapsed="false">
      <c r="A162" s="19" t="s">
        <v>4107</v>
      </c>
      <c r="B162" s="19" t="s">
        <v>4108</v>
      </c>
      <c r="C162" s="19" t="s">
        <v>4098</v>
      </c>
      <c r="D162" s="19" t="s">
        <v>4099</v>
      </c>
      <c r="E162" s="19" t="s">
        <v>153</v>
      </c>
      <c r="F162" s="19" t="n">
        <f aca="false">COUNTIF(Responsibilities!$E:$E,A162)</f>
        <v>1</v>
      </c>
      <c r="G162" s="20" t="str">
        <f aca="false">IF(F162&gt;0,"YES","GAP")</f>
        <v>YES</v>
      </c>
    </row>
    <row r="163" customFormat="false" ht="22.35" hidden="false" customHeight="false" outlineLevel="0" collapsed="false">
      <c r="A163" s="19" t="s">
        <v>4110</v>
      </c>
      <c r="B163" s="19" t="s">
        <v>4111</v>
      </c>
      <c r="C163" s="19" t="s">
        <v>4098</v>
      </c>
      <c r="D163" s="19" t="s">
        <v>4099</v>
      </c>
      <c r="E163" s="19" t="s">
        <v>153</v>
      </c>
      <c r="F163" s="19" t="n">
        <f aca="false">COUNTIF(Responsibilities!$E:$E,A163)</f>
        <v>1</v>
      </c>
      <c r="G163" s="20" t="str">
        <f aca="false">IF(F163&gt;0,"YES","GAP")</f>
        <v>YES</v>
      </c>
    </row>
    <row r="164" customFormat="false" ht="22.35" hidden="false" customHeight="false" outlineLevel="0" collapsed="false">
      <c r="A164" s="19" t="s">
        <v>4113</v>
      </c>
      <c r="B164" s="19" t="s">
        <v>4114</v>
      </c>
      <c r="C164" s="19" t="s">
        <v>4098</v>
      </c>
      <c r="D164" s="19" t="s">
        <v>4099</v>
      </c>
      <c r="E164" s="19" t="s">
        <v>153</v>
      </c>
      <c r="F164" s="19" t="n">
        <f aca="false">COUNTIF(Responsibilities!$E:$E,A164)</f>
        <v>1</v>
      </c>
      <c r="G164" s="20" t="str">
        <f aca="false">IF(F164&gt;0,"YES","GAP")</f>
        <v>YES</v>
      </c>
    </row>
    <row r="165" customFormat="false" ht="22.35" hidden="false" customHeight="false" outlineLevel="0" collapsed="false">
      <c r="A165" s="19" t="s">
        <v>4116</v>
      </c>
      <c r="B165" s="19" t="s">
        <v>4117</v>
      </c>
      <c r="C165" s="19" t="s">
        <v>4098</v>
      </c>
      <c r="D165" s="19" t="s">
        <v>4099</v>
      </c>
      <c r="E165" s="19" t="s">
        <v>153</v>
      </c>
      <c r="F165" s="19" t="n">
        <f aca="false">COUNTIF(Responsibilities!$E:$E,A165)</f>
        <v>1</v>
      </c>
      <c r="G165" s="20" t="str">
        <f aca="false">IF(F165&gt;0,"YES","GAP")</f>
        <v>YES</v>
      </c>
    </row>
    <row r="166" customFormat="false" ht="22.35" hidden="false" customHeight="false" outlineLevel="0" collapsed="false">
      <c r="A166" s="19" t="s">
        <v>4119</v>
      </c>
      <c r="B166" s="19" t="s">
        <v>4120</v>
      </c>
      <c r="C166" s="19" t="s">
        <v>4098</v>
      </c>
      <c r="D166" s="19" t="s">
        <v>4099</v>
      </c>
      <c r="E166" s="19" t="s">
        <v>153</v>
      </c>
      <c r="F166" s="19" t="n">
        <f aca="false">COUNTIF(Responsibilities!$E:$E,A166)</f>
        <v>1</v>
      </c>
      <c r="G166" s="20" t="str">
        <f aca="false">IF(F166&gt;0,"YES","GAP")</f>
        <v>YES</v>
      </c>
    </row>
    <row r="167" customFormat="false" ht="22.35" hidden="false" customHeight="false" outlineLevel="0" collapsed="false">
      <c r="A167" s="19" t="s">
        <v>4122</v>
      </c>
      <c r="B167" s="19" t="s">
        <v>4123</v>
      </c>
      <c r="C167" s="19" t="s">
        <v>4098</v>
      </c>
      <c r="D167" s="19" t="s">
        <v>4099</v>
      </c>
      <c r="E167" s="19" t="s">
        <v>153</v>
      </c>
      <c r="F167" s="19" t="n">
        <f aca="false">COUNTIF(Responsibilities!$E:$E,A167)</f>
        <v>1</v>
      </c>
      <c r="G167" s="20" t="str">
        <f aca="false">IF(F167&gt;0,"YES","GAP")</f>
        <v>YES</v>
      </c>
    </row>
    <row r="168" customFormat="false" ht="22.35" hidden="false" customHeight="false" outlineLevel="0" collapsed="false">
      <c r="A168" s="19" t="s">
        <v>4125</v>
      </c>
      <c r="B168" s="19" t="s">
        <v>4126</v>
      </c>
      <c r="C168" s="19" t="s">
        <v>4098</v>
      </c>
      <c r="D168" s="19" t="s">
        <v>4099</v>
      </c>
      <c r="E168" s="19" t="s">
        <v>153</v>
      </c>
      <c r="F168" s="19" t="n">
        <f aca="false">COUNTIF(Responsibilities!$E:$E,A168)</f>
        <v>1</v>
      </c>
      <c r="G168" s="20" t="str">
        <f aca="false">IF(F168&gt;0,"YES","GAP")</f>
        <v>YES</v>
      </c>
    </row>
    <row r="169" customFormat="false" ht="22.35" hidden="false" customHeight="false" outlineLevel="0" collapsed="false">
      <c r="A169" s="19" t="s">
        <v>4128</v>
      </c>
      <c r="B169" s="19" t="s">
        <v>4129</v>
      </c>
      <c r="C169" s="19" t="s">
        <v>4098</v>
      </c>
      <c r="D169" s="19" t="s">
        <v>4099</v>
      </c>
      <c r="E169" s="19" t="s">
        <v>153</v>
      </c>
      <c r="F169" s="19" t="n">
        <f aca="false">COUNTIF(Responsibilities!$E:$E,A169)</f>
        <v>1</v>
      </c>
      <c r="G169" s="20" t="str">
        <f aca="false">IF(F169&gt;0,"YES","GAP")</f>
        <v>YES</v>
      </c>
    </row>
    <row r="170" customFormat="false" ht="22.35" hidden="false" customHeight="false" outlineLevel="0" collapsed="false">
      <c r="A170" s="19" t="s">
        <v>4131</v>
      </c>
      <c r="B170" s="19" t="s">
        <v>4132</v>
      </c>
      <c r="C170" s="19" t="s">
        <v>4098</v>
      </c>
      <c r="D170" s="19" t="s">
        <v>4099</v>
      </c>
      <c r="E170" s="19" t="s">
        <v>153</v>
      </c>
      <c r="F170" s="19" t="n">
        <f aca="false">COUNTIF(Responsibilities!$E:$E,A170)</f>
        <v>1</v>
      </c>
      <c r="G170" s="20" t="str">
        <f aca="false">IF(F170&gt;0,"YES","GAP")</f>
        <v>YES</v>
      </c>
    </row>
    <row r="171" customFormat="false" ht="22.35" hidden="false" customHeight="false" outlineLevel="0" collapsed="false">
      <c r="A171" s="19" t="s">
        <v>4134</v>
      </c>
      <c r="B171" s="19" t="s">
        <v>4135</v>
      </c>
      <c r="C171" s="19" t="s">
        <v>4098</v>
      </c>
      <c r="D171" s="19" t="s">
        <v>4099</v>
      </c>
      <c r="E171" s="19" t="s">
        <v>153</v>
      </c>
      <c r="F171" s="19" t="n">
        <f aca="false">COUNTIF(Responsibilities!$E:$E,A171)</f>
        <v>1</v>
      </c>
      <c r="G171" s="20" t="str">
        <f aca="false">IF(F171&gt;0,"YES","GAP")</f>
        <v>YES</v>
      </c>
    </row>
    <row r="172" customFormat="false" ht="22.35" hidden="false" customHeight="false" outlineLevel="0" collapsed="false">
      <c r="A172" s="19" t="s">
        <v>4137</v>
      </c>
      <c r="B172" s="19" t="s">
        <v>4138</v>
      </c>
      <c r="C172" s="19" t="s">
        <v>4139</v>
      </c>
      <c r="D172" s="19" t="s">
        <v>4140</v>
      </c>
      <c r="E172" s="19" t="s">
        <v>65</v>
      </c>
      <c r="F172" s="19" t="n">
        <f aca="false">COUNTIF(Responsibilities!$E:$E,A172)</f>
        <v>1</v>
      </c>
      <c r="G172" s="20" t="str">
        <f aca="false">IF(F172&gt;0,"YES","GAP")</f>
        <v>YES</v>
      </c>
    </row>
    <row r="173" customFormat="false" ht="15" hidden="false" customHeight="false" outlineLevel="0" collapsed="false">
      <c r="A173" s="19" t="s">
        <v>4147</v>
      </c>
      <c r="B173" s="19" t="s">
        <v>4148</v>
      </c>
      <c r="C173" s="19" t="s">
        <v>4139</v>
      </c>
      <c r="D173" s="19" t="s">
        <v>4140</v>
      </c>
      <c r="E173" s="19" t="s">
        <v>65</v>
      </c>
      <c r="F173" s="19" t="n">
        <f aca="false">COUNTIF(Responsibilities!$E:$E,A173)</f>
        <v>1</v>
      </c>
      <c r="G173" s="20" t="str">
        <f aca="false">IF(F173&gt;0,"YES","GAP")</f>
        <v>YES</v>
      </c>
    </row>
    <row r="174" customFormat="false" ht="15" hidden="false" customHeight="false" outlineLevel="0" collapsed="false">
      <c r="A174" s="19" t="s">
        <v>4150</v>
      </c>
      <c r="B174" s="19" t="s">
        <v>4151</v>
      </c>
      <c r="C174" s="19" t="s">
        <v>4139</v>
      </c>
      <c r="D174" s="19" t="s">
        <v>4140</v>
      </c>
      <c r="E174" s="19" t="s">
        <v>65</v>
      </c>
      <c r="F174" s="19" t="n">
        <f aca="false">COUNTIF(Responsibilities!$E:$E,A174)</f>
        <v>1</v>
      </c>
      <c r="G174" s="20" t="str">
        <f aca="false">IF(F174&gt;0,"YES","GAP")</f>
        <v>YES</v>
      </c>
    </row>
    <row r="175" customFormat="false" ht="15" hidden="false" customHeight="false" outlineLevel="0" collapsed="false">
      <c r="A175" s="19" t="s">
        <v>4153</v>
      </c>
      <c r="B175" s="19" t="s">
        <v>4154</v>
      </c>
      <c r="C175" s="19" t="s">
        <v>4139</v>
      </c>
      <c r="D175" s="19" t="s">
        <v>4140</v>
      </c>
      <c r="E175" s="19" t="s">
        <v>65</v>
      </c>
      <c r="F175" s="19" t="n">
        <f aca="false">COUNTIF(Responsibilities!$E:$E,A175)</f>
        <v>1</v>
      </c>
      <c r="G175" s="20" t="str">
        <f aca="false">IF(F175&gt;0,"YES","GAP")</f>
        <v>YES</v>
      </c>
    </row>
    <row r="176" customFormat="false" ht="22.35" hidden="false" customHeight="false" outlineLevel="0" collapsed="false">
      <c r="A176" s="19" t="s">
        <v>4156</v>
      </c>
      <c r="B176" s="19" t="s">
        <v>4157</v>
      </c>
      <c r="C176" s="19" t="s">
        <v>4139</v>
      </c>
      <c r="D176" s="19" t="s">
        <v>4140</v>
      </c>
      <c r="E176" s="19" t="s">
        <v>65</v>
      </c>
      <c r="F176" s="19" t="n">
        <f aca="false">COUNTIF(Responsibilities!$E:$E,A176)</f>
        <v>1</v>
      </c>
      <c r="G176" s="20" t="str">
        <f aca="false">IF(F176&gt;0,"YES","GAP")</f>
        <v>YES</v>
      </c>
    </row>
    <row r="177" customFormat="false" ht="22.35" hidden="false" customHeight="false" outlineLevel="0" collapsed="false">
      <c r="A177" s="19" t="s">
        <v>4159</v>
      </c>
      <c r="B177" s="19" t="s">
        <v>4160</v>
      </c>
      <c r="C177" s="19" t="s">
        <v>4139</v>
      </c>
      <c r="D177" s="19" t="s">
        <v>4140</v>
      </c>
      <c r="E177" s="19" t="s">
        <v>65</v>
      </c>
      <c r="F177" s="19" t="n">
        <f aca="false">COUNTIF(Responsibilities!$E:$E,A177)</f>
        <v>1</v>
      </c>
      <c r="G177" s="20" t="str">
        <f aca="false">IF(F177&gt;0,"YES","GAP")</f>
        <v>YES</v>
      </c>
    </row>
    <row r="178" customFormat="false" ht="22.35" hidden="false" customHeight="false" outlineLevel="0" collapsed="false">
      <c r="A178" s="19" t="s">
        <v>4162</v>
      </c>
      <c r="B178" s="19" t="s">
        <v>4163</v>
      </c>
      <c r="C178" s="19" t="s">
        <v>4139</v>
      </c>
      <c r="D178" s="19" t="s">
        <v>4140</v>
      </c>
      <c r="E178" s="19" t="s">
        <v>65</v>
      </c>
      <c r="F178" s="19" t="n">
        <f aca="false">COUNTIF(Responsibilities!$E:$E,A178)</f>
        <v>1</v>
      </c>
      <c r="G178" s="20" t="str">
        <f aca="false">IF(F178&gt;0,"YES","GAP")</f>
        <v>YES</v>
      </c>
    </row>
    <row r="179" customFormat="false" ht="15" hidden="false" customHeight="false" outlineLevel="0" collapsed="false">
      <c r="A179" s="19" t="s">
        <v>4165</v>
      </c>
      <c r="B179" s="19" t="s">
        <v>4166</v>
      </c>
      <c r="C179" s="19" t="s">
        <v>4167</v>
      </c>
      <c r="D179" s="19" t="s">
        <v>4168</v>
      </c>
      <c r="E179" s="19" t="s">
        <v>91</v>
      </c>
      <c r="F179" s="19" t="n">
        <f aca="false">COUNTIF(Responsibilities!$E:$E,A179)</f>
        <v>1</v>
      </c>
      <c r="G179" s="20" t="str">
        <f aca="false">IF(F179&gt;0,"YES","GAP")</f>
        <v>YES</v>
      </c>
    </row>
    <row r="180" customFormat="false" ht="15" hidden="false" customHeight="false" outlineLevel="0" collapsed="false">
      <c r="A180" s="19" t="s">
        <v>4173</v>
      </c>
      <c r="B180" s="19" t="s">
        <v>4174</v>
      </c>
      <c r="C180" s="19" t="s">
        <v>4167</v>
      </c>
      <c r="D180" s="19" t="s">
        <v>4168</v>
      </c>
      <c r="E180" s="19" t="s">
        <v>91</v>
      </c>
      <c r="F180" s="19" t="n">
        <f aca="false">COUNTIF(Responsibilities!$E:$E,A180)</f>
        <v>1</v>
      </c>
      <c r="G180" s="20" t="str">
        <f aca="false">IF(F180&gt;0,"YES","GAP")</f>
        <v>YES</v>
      </c>
    </row>
    <row r="181" customFormat="false" ht="15" hidden="false" customHeight="false" outlineLevel="0" collapsed="false">
      <c r="A181" s="19" t="s">
        <v>4176</v>
      </c>
      <c r="B181" s="19" t="s">
        <v>4177</v>
      </c>
      <c r="C181" s="19" t="s">
        <v>4167</v>
      </c>
      <c r="D181" s="19" t="s">
        <v>4168</v>
      </c>
      <c r="E181" s="19" t="s">
        <v>91</v>
      </c>
      <c r="F181" s="19" t="n">
        <f aca="false">COUNTIF(Responsibilities!$E:$E,A181)</f>
        <v>1</v>
      </c>
      <c r="G181" s="20" t="str">
        <f aca="false">IF(F181&gt;0,"YES","GAP")</f>
        <v>YES</v>
      </c>
    </row>
    <row r="182" customFormat="false" ht="22.35" hidden="false" customHeight="false" outlineLevel="0" collapsed="false">
      <c r="A182" s="19" t="s">
        <v>4179</v>
      </c>
      <c r="B182" s="19" t="s">
        <v>4180</v>
      </c>
      <c r="C182" s="19" t="s">
        <v>4167</v>
      </c>
      <c r="D182" s="19" t="s">
        <v>4168</v>
      </c>
      <c r="E182" s="19" t="s">
        <v>91</v>
      </c>
      <c r="F182" s="19" t="n">
        <f aca="false">COUNTIF(Responsibilities!$E:$E,A182)</f>
        <v>1</v>
      </c>
      <c r="G182" s="20" t="str">
        <f aca="false">IF(F182&gt;0,"YES","GAP")</f>
        <v>YES</v>
      </c>
    </row>
    <row r="183" customFormat="false" ht="32.8" hidden="false" customHeight="false" outlineLevel="0" collapsed="false">
      <c r="A183" s="19" t="s">
        <v>4182</v>
      </c>
      <c r="B183" s="19" t="s">
        <v>4183</v>
      </c>
      <c r="C183" s="19" t="s">
        <v>4184</v>
      </c>
      <c r="D183" s="19" t="s">
        <v>4185</v>
      </c>
      <c r="E183" s="19" t="s">
        <v>65</v>
      </c>
      <c r="F183" s="19" t="n">
        <f aca="false">COUNTIF(Responsibilities!$E:$E,A183)</f>
        <v>1</v>
      </c>
      <c r="G183" s="20" t="str">
        <f aca="false">IF(F183&gt;0,"YES","GAP")</f>
        <v>YES</v>
      </c>
    </row>
  </sheetData>
  <autoFilter ref="A1:G1"/>
  <conditionalFormatting sqref="G2:G183">
    <cfRule type="cellIs" priority="2" operator="equal" aboveAverage="0" equalAverage="0" bottom="0" percent="0" rank="0" text="" dxfId="2">
      <formula>"GAP"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1"/>
    <col collapsed="false" customWidth="true" hidden="false" outlineLevel="0" max="4" min="4" style="0" width="26"/>
    <col collapsed="false" customWidth="true" hidden="false" outlineLevel="0" max="5" min="5" style="0" width="11"/>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11"/>
    <col collapsed="false" customWidth="true" hidden="false" outlineLevel="0" max="10" min="10" style="0" width="26"/>
    <col collapsed="false" customWidth="true" hidden="false" outlineLevel="0" max="11" min="11" style="0" width="11"/>
    <col collapsed="false" customWidth="true" hidden="false" outlineLevel="0" max="12" min="12" style="0" width="12"/>
    <col collapsed="false" customWidth="true" hidden="false" outlineLevel="0" max="13" min="13" style="0" width="16"/>
  </cols>
  <sheetData>
    <row r="1" customFormat="false" ht="17.35" hidden="false" customHeight="false" outlineLevel="0" collapsed="false">
      <c r="A1" s="1" t="s">
        <v>4649</v>
      </c>
    </row>
    <row r="2" customFormat="false" ht="15" hidden="false" customHeight="false" outlineLevel="0" collapsed="false">
      <c r="A2" s="22" t="s">
        <v>4650</v>
      </c>
    </row>
    <row r="4" customFormat="false" ht="23.85" hidden="false" customHeight="false" outlineLevel="0" collapsed="false">
      <c r="A4" s="23" t="s">
        <v>4651</v>
      </c>
      <c r="B4" s="23" t="s">
        <v>4652</v>
      </c>
      <c r="C4" s="23" t="s">
        <v>4653</v>
      </c>
      <c r="D4" s="23" t="s">
        <v>4654</v>
      </c>
      <c r="E4" s="23" t="s">
        <v>4655</v>
      </c>
      <c r="F4" s="23" t="s">
        <v>4656</v>
      </c>
      <c r="G4" s="23" t="s">
        <v>4657</v>
      </c>
      <c r="H4" s="23" t="s">
        <v>4658</v>
      </c>
      <c r="I4" s="23" t="s">
        <v>4659</v>
      </c>
      <c r="J4" s="23" t="s">
        <v>4660</v>
      </c>
      <c r="K4" s="23" t="s">
        <v>4661</v>
      </c>
      <c r="L4" s="23" t="s">
        <v>4662</v>
      </c>
      <c r="M4" s="23" t="s">
        <v>4663</v>
      </c>
    </row>
    <row r="5" customFormat="false" ht="15" hidden="false" customHeight="false" outlineLevel="0" collapsed="false">
      <c r="A5" s="24" t="s">
        <v>391</v>
      </c>
      <c r="B5" s="24" t="s">
        <v>388</v>
      </c>
      <c r="C5" s="25"/>
      <c r="D5" s="24" t="s">
        <v>416</v>
      </c>
      <c r="E5" s="25"/>
      <c r="F5" s="24" t="s">
        <v>428</v>
      </c>
      <c r="G5" s="25"/>
      <c r="H5" s="24" t="s">
        <v>403</v>
      </c>
      <c r="I5" s="25"/>
      <c r="J5" s="24" t="s">
        <v>452</v>
      </c>
      <c r="K5" s="24" t="n">
        <f aca="false">SUM(C5,E5,G5,I5)</f>
        <v>0</v>
      </c>
      <c r="L5" s="25"/>
      <c r="M5" s="24" t="s">
        <v>4664</v>
      </c>
    </row>
    <row r="6" customFormat="false" ht="15" hidden="false" customHeight="false" outlineLevel="0" collapsed="false">
      <c r="A6" s="24" t="s">
        <v>478</v>
      </c>
      <c r="B6" s="24" t="s">
        <v>476</v>
      </c>
      <c r="C6" s="25"/>
      <c r="D6" s="24" t="s">
        <v>510</v>
      </c>
      <c r="E6" s="25"/>
      <c r="F6" s="24" t="s">
        <v>498</v>
      </c>
      <c r="G6" s="25"/>
      <c r="H6" s="24" t="s">
        <v>476</v>
      </c>
      <c r="I6" s="25"/>
      <c r="J6" s="24" t="s">
        <v>485</v>
      </c>
      <c r="K6" s="24" t="n">
        <f aca="false">SUM(C6,E6,G6,I6)</f>
        <v>0</v>
      </c>
      <c r="L6" s="25"/>
      <c r="M6" s="24" t="s">
        <v>4665</v>
      </c>
    </row>
    <row r="7" customFormat="false" ht="15" hidden="false" customHeight="false" outlineLevel="0" collapsed="false">
      <c r="A7" s="24" t="s">
        <v>559</v>
      </c>
      <c r="B7" s="24" t="s">
        <v>557</v>
      </c>
      <c r="C7" s="25"/>
      <c r="D7" s="24" t="s">
        <v>653</v>
      </c>
      <c r="E7" s="25"/>
      <c r="F7" s="24" t="s">
        <v>630</v>
      </c>
      <c r="G7" s="25"/>
      <c r="H7" s="24" t="s">
        <v>686</v>
      </c>
      <c r="I7" s="25"/>
      <c r="J7" s="24" t="s">
        <v>587</v>
      </c>
      <c r="K7" s="24" t="n">
        <f aca="false">SUM(C7,E7,G7,I7)</f>
        <v>0</v>
      </c>
      <c r="L7" s="25"/>
      <c r="M7" s="24" t="s">
        <v>4665</v>
      </c>
    </row>
    <row r="8" customFormat="false" ht="15" hidden="false" customHeight="false" outlineLevel="0" collapsed="false">
      <c r="A8" s="24" t="s">
        <v>698</v>
      </c>
      <c r="B8" s="24" t="s">
        <v>696</v>
      </c>
      <c r="C8" s="25"/>
      <c r="D8" s="24" t="s">
        <v>716</v>
      </c>
      <c r="E8" s="25"/>
      <c r="F8" s="24" t="s">
        <v>728</v>
      </c>
      <c r="G8" s="25"/>
      <c r="H8" s="24" t="s">
        <v>728</v>
      </c>
      <c r="I8" s="25"/>
      <c r="J8" s="24" t="s">
        <v>740</v>
      </c>
      <c r="K8" s="24" t="n">
        <f aca="false">SUM(C8,E8,G8,I8)</f>
        <v>0</v>
      </c>
      <c r="L8" s="25"/>
      <c r="M8" s="24" t="s">
        <v>4665</v>
      </c>
    </row>
    <row r="9" customFormat="false" ht="15" hidden="false" customHeight="false" outlineLevel="0" collapsed="false">
      <c r="A9" s="24" t="s">
        <v>766</v>
      </c>
      <c r="B9" s="24" t="s">
        <v>764</v>
      </c>
      <c r="C9" s="25"/>
      <c r="D9" s="24" t="s">
        <v>807</v>
      </c>
      <c r="E9" s="25"/>
      <c r="F9" s="24" t="s">
        <v>797</v>
      </c>
      <c r="G9" s="25"/>
      <c r="H9" s="24" t="s">
        <v>785</v>
      </c>
      <c r="I9" s="25"/>
      <c r="J9" s="24" t="s">
        <v>773</v>
      </c>
      <c r="K9" s="24" t="n">
        <f aca="false">SUM(C9,E9,G9,I9)</f>
        <v>0</v>
      </c>
      <c r="L9" s="25"/>
      <c r="M9" s="24" t="s">
        <v>4664</v>
      </c>
    </row>
    <row r="10" customFormat="false" ht="15" hidden="false" customHeight="false" outlineLevel="0" collapsed="false">
      <c r="A10" s="24" t="s">
        <v>853</v>
      </c>
      <c r="B10" s="24" t="s">
        <v>851</v>
      </c>
      <c r="C10" s="25"/>
      <c r="D10" s="24" t="s">
        <v>894</v>
      </c>
      <c r="E10" s="25"/>
      <c r="F10" s="24" t="s">
        <v>917</v>
      </c>
      <c r="G10" s="25"/>
      <c r="H10" s="24" t="s">
        <v>859</v>
      </c>
      <c r="I10" s="25"/>
      <c r="J10" s="24" t="s">
        <v>964</v>
      </c>
      <c r="K10" s="24" t="n">
        <f aca="false">SUM(C10,E10,G10,I10)</f>
        <v>0</v>
      </c>
      <c r="L10" s="25"/>
      <c r="M10" s="24" t="s">
        <v>4664</v>
      </c>
    </row>
    <row r="11" customFormat="false" ht="15" hidden="false" customHeight="false" outlineLevel="0" collapsed="false">
      <c r="A11" s="24" t="s">
        <v>978</v>
      </c>
      <c r="B11" s="24" t="s">
        <v>976</v>
      </c>
      <c r="C11" s="25"/>
      <c r="D11" s="24" t="s">
        <v>716</v>
      </c>
      <c r="E11" s="25"/>
      <c r="F11" s="24" t="s">
        <v>1019</v>
      </c>
      <c r="G11" s="25"/>
      <c r="H11" s="24" t="s">
        <v>984</v>
      </c>
      <c r="I11" s="25"/>
      <c r="J11" s="24" t="s">
        <v>1025</v>
      </c>
      <c r="K11" s="24" t="n">
        <f aca="false">SUM(C11,E11,G11,I11)</f>
        <v>0</v>
      </c>
      <c r="L11" s="25"/>
      <c r="M11" s="24" t="s">
        <v>4666</v>
      </c>
    </row>
    <row r="12" customFormat="false" ht="15" hidden="false" customHeight="false" outlineLevel="0" collapsed="false">
      <c r="A12" s="24" t="s">
        <v>1076</v>
      </c>
      <c r="B12" s="24" t="s">
        <v>1074</v>
      </c>
      <c r="C12" s="25"/>
      <c r="D12" s="24" t="s">
        <v>1097</v>
      </c>
      <c r="E12" s="25"/>
      <c r="F12" s="24" t="s">
        <v>1112</v>
      </c>
      <c r="G12" s="25"/>
      <c r="H12" s="24" t="s">
        <v>1181</v>
      </c>
      <c r="I12" s="25"/>
      <c r="J12" s="24" t="s">
        <v>1157</v>
      </c>
      <c r="K12" s="24" t="n">
        <f aca="false">SUM(C12,E12,G12,I12)</f>
        <v>0</v>
      </c>
      <c r="L12" s="25"/>
      <c r="M12" s="24" t="s">
        <v>4666</v>
      </c>
    </row>
    <row r="13" customFormat="false" ht="15" hidden="false" customHeight="false" outlineLevel="0" collapsed="false">
      <c r="A13" s="24" t="s">
        <v>1204</v>
      </c>
      <c r="B13" s="24" t="s">
        <v>1202</v>
      </c>
      <c r="C13" s="25"/>
      <c r="D13" s="24" t="s">
        <v>1233</v>
      </c>
      <c r="E13" s="25"/>
      <c r="F13" s="24" t="s">
        <v>1210</v>
      </c>
      <c r="G13" s="25"/>
      <c r="H13" s="24" t="s">
        <v>1256</v>
      </c>
      <c r="I13" s="25"/>
      <c r="J13" s="24" t="s">
        <v>1290</v>
      </c>
      <c r="K13" s="24" t="n">
        <f aca="false">SUM(C13,E13,G13,I13)</f>
        <v>0</v>
      </c>
      <c r="L13" s="25"/>
      <c r="M13" s="24" t="s">
        <v>4664</v>
      </c>
    </row>
    <row r="14" customFormat="false" ht="15" hidden="false" customHeight="false" outlineLevel="0" collapsed="false">
      <c r="A14" s="2" t="s">
        <v>4667</v>
      </c>
      <c r="C14" s="2" t="n">
        <f aca="false">SUM(C5:C13)</f>
        <v>0</v>
      </c>
      <c r="E14" s="2" t="n">
        <f aca="false">SUM(E5:E13)</f>
        <v>0</v>
      </c>
      <c r="G14" s="2" t="n">
        <f aca="false">SUM(G5:G13)</f>
        <v>0</v>
      </c>
      <c r="I14" s="2" t="n">
        <f aca="false">SUM(I5:I13)</f>
        <v>0</v>
      </c>
      <c r="K14" s="2" t="n">
        <f aca="false">SUM(K5:K13)</f>
        <v>0</v>
      </c>
      <c r="L14" s="2" t="n">
        <f aca="false">SUM(L5:L13)</f>
        <v>0</v>
      </c>
    </row>
    <row r="16" customFormat="false" ht="15" hidden="false" customHeight="false" outlineLevel="0" collapsed="false">
      <c r="A16" s="26" t="s">
        <v>4668</v>
      </c>
      <c r="B16" s="26" t="s">
        <v>557</v>
      </c>
      <c r="C16" s="26" t="n">
        <v>1</v>
      </c>
      <c r="D16" s="26"/>
      <c r="E16" s="26" t="n">
        <v>0.5</v>
      </c>
      <c r="F16" s="26"/>
      <c r="G16" s="26" t="n">
        <v>0.5</v>
      </c>
      <c r="H16" s="26"/>
      <c r="I16" s="26" t="n">
        <v>0</v>
      </c>
      <c r="J16" s="26"/>
      <c r="K16" s="26" t="n">
        <f aca="false">SUM(C16,E16,G16,I16)</f>
        <v>2</v>
      </c>
      <c r="L16" s="26" t="n">
        <v>0.5</v>
      </c>
      <c r="M16" s="26" t="s">
        <v>4665</v>
      </c>
    </row>
    <row r="18" customFormat="false" ht="15" hidden="false" customHeight="false" outlineLevel="0" collapsed="false">
      <c r="A18" s="2" t="s">
        <v>4669</v>
      </c>
      <c r="B18" s="27" t="n">
        <f aca="false">K14+L14</f>
        <v>0</v>
      </c>
      <c r="C18" s="27"/>
      <c r="D18" s="27"/>
      <c r="E18" s="27"/>
      <c r="F18" s="27"/>
      <c r="G18" s="27"/>
      <c r="H18" s="27"/>
      <c r="I18" s="27"/>
      <c r="J18" s="27"/>
    </row>
    <row r="19" customFormat="false" ht="15" hidden="false" customHeight="false" outlineLevel="0" collapsed="false">
      <c r="A19" s="2" t="s">
        <v>4670</v>
      </c>
      <c r="B19" s="27" t="str">
        <f aca="false">IF(COUNT(C5:C13,E5:E13,G5:G13,I5:I13)=0,"Not yet scored",IF(B18&gt;=40,"Dynamic Middle—Sustained",IF(B18&gt;=32,"Equilibrium—Functional",IF(B18&gt;=24,"Imbalance—Managed",IF(B18&gt;=16,"Imbalance—Exposed","Collapse Risk")))))</f>
        <v>Not yet scored</v>
      </c>
      <c r="C19" s="27"/>
      <c r="D19" s="27"/>
      <c r="E19" s="27"/>
      <c r="F19" s="27"/>
      <c r="G19" s="27"/>
      <c r="H19" s="27"/>
      <c r="I19" s="27"/>
      <c r="J19" s="27"/>
    </row>
    <row r="20" customFormat="false" ht="15" hidden="false" customHeight="false" outlineLevel="0" collapsed="false">
      <c r="A20" s="2" t="s">
        <v>4671</v>
      </c>
      <c r="B20" s="27" t="str">
        <f aca="false">IF(B19="Not yet scored","—",IF(B18&gt;=40,"Scale intentionally. Begin next Fibonacci step. (O-04 → STR-03)",IF(B18&gt;=32,"Identify lowest-scoring department. Apply Shepherd's Way. (O-04 → O-03)",IF(B18&gt;=24,"Gap analysis. Prioritize by dependency order. (O-04 → O-03)",IF(B18&gt;=16,"Return to Gather. Full Immersion Model recommended. (O-03)","Emergency blueprint session. Minimum viable docs in 9 depts within 30 days. (O-19 + G-00)")))))</f>
        <v>—</v>
      </c>
      <c r="C20" s="27"/>
      <c r="D20" s="27"/>
      <c r="E20" s="27"/>
      <c r="F20" s="27"/>
      <c r="G20" s="27"/>
      <c r="H20" s="27"/>
      <c r="I20" s="27"/>
      <c r="J20" s="27"/>
    </row>
    <row r="21" customFormat="false" ht="15" hidden="false" customHeight="false" outlineLevel="0" collapsed="false">
      <c r="A21" s="2" t="s">
        <v>4672</v>
      </c>
      <c r="B21" s="27" t="str">
        <f aca="false">IF(B19="Not yet scored","—",INDEX(A5:A13,MATCH(MIN(K5:K13),K5:K13,0)))</f>
        <v>—</v>
      </c>
      <c r="C21" s="27"/>
      <c r="D21" s="27"/>
      <c r="E21" s="27"/>
      <c r="F21" s="27"/>
      <c r="G21" s="27"/>
      <c r="H21" s="27"/>
      <c r="I21" s="27"/>
      <c r="J21" s="27"/>
    </row>
    <row r="22" customFormat="false" ht="15" hidden="false" customHeight="false" outlineLevel="0" collapsed="false">
      <c r="A22" s="2" t="s">
        <v>4673</v>
      </c>
      <c r="B22" s="28" t="n">
        <f aca="false">AVERAGE(K6:K8)</f>
        <v>0</v>
      </c>
      <c r="C22" s="28"/>
      <c r="D22" s="28"/>
      <c r="E22" s="28"/>
      <c r="F22" s="28"/>
      <c r="G22" s="28"/>
      <c r="H22" s="28"/>
      <c r="I22" s="28"/>
      <c r="J22" s="28"/>
    </row>
    <row r="23" customFormat="false" ht="15" hidden="false" customHeight="false" outlineLevel="0" collapsed="false">
      <c r="A23" s="2" t="s">
        <v>4674</v>
      </c>
      <c r="B23" s="28" t="n">
        <f aca="false">AVERAGE(K5,K9,K10,K13)</f>
        <v>0</v>
      </c>
      <c r="C23" s="28"/>
      <c r="D23" s="28"/>
      <c r="E23" s="28"/>
      <c r="F23" s="28"/>
      <c r="G23" s="28"/>
      <c r="H23" s="28"/>
      <c r="I23" s="28"/>
      <c r="J23" s="28"/>
    </row>
    <row r="24" customFormat="false" ht="15" hidden="false" customHeight="false" outlineLevel="0" collapsed="false">
      <c r="A24" s="2" t="s">
        <v>4675</v>
      </c>
      <c r="B24" s="28" t="n">
        <f aca="false">AVERAGE(K11:K12)</f>
        <v>0</v>
      </c>
      <c r="C24" s="28"/>
      <c r="D24" s="28"/>
      <c r="E24" s="28"/>
      <c r="F24" s="28"/>
      <c r="G24" s="28"/>
      <c r="H24" s="28"/>
      <c r="I24" s="28"/>
      <c r="J24" s="28"/>
    </row>
    <row r="26" customFormat="false" ht="15" hidden="false" customHeight="false" outlineLevel="0" collapsed="false">
      <c r="A26" s="2" t="s">
        <v>4676</v>
      </c>
    </row>
    <row r="27" customFormat="false" ht="30" hidden="false" customHeight="true" outlineLevel="0" collapsed="false">
      <c r="A27" s="2" t="s">
        <v>4653</v>
      </c>
      <c r="B27" s="29" t="s">
        <v>4677</v>
      </c>
      <c r="C27" s="29"/>
      <c r="D27" s="29"/>
      <c r="E27" s="29"/>
      <c r="F27" s="29"/>
      <c r="G27" s="29"/>
      <c r="H27" s="29"/>
      <c r="I27" s="29"/>
      <c r="J27" s="29"/>
      <c r="K27" s="29"/>
      <c r="L27" s="29"/>
      <c r="M27" s="29"/>
    </row>
    <row r="28" customFormat="false" ht="30" hidden="false" customHeight="true" outlineLevel="0" collapsed="false">
      <c r="A28" s="2" t="s">
        <v>4655</v>
      </c>
      <c r="B28" s="29" t="s">
        <v>4678</v>
      </c>
      <c r="C28" s="29"/>
      <c r="D28" s="29"/>
      <c r="E28" s="29"/>
      <c r="F28" s="29"/>
      <c r="G28" s="29"/>
      <c r="H28" s="29"/>
      <c r="I28" s="29"/>
      <c r="J28" s="29"/>
      <c r="K28" s="29"/>
      <c r="L28" s="29"/>
      <c r="M28" s="29"/>
    </row>
    <row r="29" customFormat="false" ht="30" hidden="false" customHeight="true" outlineLevel="0" collapsed="false">
      <c r="A29" s="2" t="s">
        <v>4657</v>
      </c>
      <c r="B29" s="29" t="s">
        <v>4679</v>
      </c>
      <c r="C29" s="29"/>
      <c r="D29" s="29"/>
      <c r="E29" s="29"/>
      <c r="F29" s="29"/>
      <c r="G29" s="29"/>
      <c r="H29" s="29"/>
      <c r="I29" s="29"/>
      <c r="J29" s="29"/>
      <c r="K29" s="29"/>
      <c r="L29" s="29"/>
      <c r="M29" s="29"/>
    </row>
    <row r="30" customFormat="false" ht="30" hidden="false" customHeight="true" outlineLevel="0" collapsed="false">
      <c r="A30" s="2" t="s">
        <v>4659</v>
      </c>
      <c r="B30" s="29" t="s">
        <v>4680</v>
      </c>
      <c r="C30" s="29"/>
      <c r="D30" s="29"/>
      <c r="E30" s="29"/>
      <c r="F30" s="29"/>
      <c r="G30" s="29"/>
      <c r="H30" s="29"/>
      <c r="I30" s="29"/>
      <c r="J30" s="29"/>
      <c r="K30" s="29"/>
      <c r="L30" s="29"/>
      <c r="M30" s="29"/>
    </row>
  </sheetData>
  <mergeCells count="11">
    <mergeCell ref="B18:J18"/>
    <mergeCell ref="B19:J19"/>
    <mergeCell ref="B20:J20"/>
    <mergeCell ref="B21:J21"/>
    <mergeCell ref="B22:J22"/>
    <mergeCell ref="B23:J23"/>
    <mergeCell ref="B24:J24"/>
    <mergeCell ref="B27:M27"/>
    <mergeCell ref="B28:M28"/>
    <mergeCell ref="B29:M29"/>
    <mergeCell ref="B30:M30"/>
  </mergeCells>
  <dataValidations count="2">
    <dataValidation allowBlank="true" errorStyle="stop" operator="between" showDropDown="false" showErrorMessage="false" showInputMessage="false" sqref="C5:C13 E5:E13 G5:G13 I5:I13" type="list">
      <formula1>"0,0.5,1"</formula1>
      <formula2>0</formula2>
    </dataValidation>
    <dataValidation allowBlank="true" errorStyle="stop" operator="between" showDropDown="false" showErrorMessage="false" showInputMessage="false" sqref="L5:L13"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6"/>
    <col collapsed="false" customWidth="true" hidden="false" outlineLevel="0" max="4" min="4" style="0" width="10"/>
    <col collapsed="false" customWidth="true" hidden="false" outlineLevel="0" max="5" min="5" style="0" width="32"/>
    <col collapsed="false" customWidth="true" hidden="false" outlineLevel="0" max="6" min="6" style="0" width="70"/>
    <col collapsed="false" customWidth="true" hidden="false" outlineLevel="0" max="7" min="7" style="0" width="12"/>
  </cols>
  <sheetData>
    <row r="1" customFormat="false" ht="23.85" hidden="false" customHeight="false" outlineLevel="0" collapsed="false">
      <c r="A1" s="6" t="s">
        <v>4681</v>
      </c>
      <c r="B1" s="6" t="s">
        <v>4682</v>
      </c>
      <c r="C1" s="6" t="s">
        <v>4683</v>
      </c>
      <c r="D1" s="6" t="s">
        <v>27</v>
      </c>
      <c r="E1" s="6" t="s">
        <v>28</v>
      </c>
      <c r="F1" s="6" t="s">
        <v>4684</v>
      </c>
      <c r="G1" s="6" t="s">
        <v>38</v>
      </c>
    </row>
    <row r="2" customFormat="false" ht="22.35" hidden="false" customHeight="false" outlineLevel="0" collapsed="false">
      <c r="A2" s="30" t="s">
        <v>4685</v>
      </c>
      <c r="B2" s="30" t="s">
        <v>4686</v>
      </c>
      <c r="C2" s="30" t="n">
        <v>1</v>
      </c>
      <c r="D2" s="30" t="s">
        <v>149</v>
      </c>
      <c r="E2" s="30" t="str">
        <f aca="false">IFERROR(INDEX('Agent Roster'!$B:$B,MATCH(D2,'Agent Roster'!$A:$A,0)),"(group / any)")</f>
        <v>Intake &amp; Triage Agent (Layer 0 Base Code)</v>
      </c>
      <c r="F2" s="30" t="s">
        <v>4687</v>
      </c>
      <c r="G2" s="30" t="s">
        <v>510</v>
      </c>
    </row>
    <row r="3" customFormat="false" ht="22.35" hidden="false" customHeight="false" outlineLevel="0" collapsed="false">
      <c r="A3" s="30" t="s">
        <v>4685</v>
      </c>
      <c r="B3" s="30" t="s">
        <v>4686</v>
      </c>
      <c r="C3" s="30" t="n">
        <v>2</v>
      </c>
      <c r="D3" s="30" t="s">
        <v>510</v>
      </c>
      <c r="E3" s="30" t="str">
        <f aca="false">IFERROR(INDEX('Agent Roster'!$B:$B,MATCH(D3,'Agent Roster'!$A:$A,0)),"(group / any)")</f>
        <v>Lead Capture, Tagging &amp; Channel ROI Agent</v>
      </c>
      <c r="F3" s="30" t="s">
        <v>4688</v>
      </c>
      <c r="G3" s="30" t="s">
        <v>565</v>
      </c>
    </row>
    <row r="4" customFormat="false" ht="15" hidden="false" customHeight="false" outlineLevel="0" collapsed="false">
      <c r="A4" s="30" t="s">
        <v>4685</v>
      </c>
      <c r="B4" s="30" t="s">
        <v>4686</v>
      </c>
      <c r="C4" s="30" t="n">
        <v>3</v>
      </c>
      <c r="D4" s="30" t="s">
        <v>565</v>
      </c>
      <c r="E4" s="30" t="str">
        <f aca="false">IFERROR(INDEX('Agent Roster'!$B:$B,MATCH(D4,'Agent Roster'!$A:$A,0)),"(group / any)")</f>
        <v>Instant Response Agent</v>
      </c>
      <c r="F4" s="30" t="s">
        <v>4689</v>
      </c>
      <c r="G4" s="30" t="s">
        <v>571</v>
      </c>
    </row>
    <row r="5" customFormat="false" ht="15" hidden="false" customHeight="false" outlineLevel="0" collapsed="false">
      <c r="A5" s="30" t="s">
        <v>4685</v>
      </c>
      <c r="B5" s="30" t="s">
        <v>4686</v>
      </c>
      <c r="C5" s="30" t="n">
        <v>4</v>
      </c>
      <c r="D5" s="30" t="s">
        <v>571</v>
      </c>
      <c r="E5" s="30" t="str">
        <f aca="false">IFERROR(INDEX('Agent Roster'!$B:$B,MATCH(D5,'Agent Roster'!$A:$A,0)),"(group / any)")</f>
        <v>Lead Qualification Agent</v>
      </c>
      <c r="F5" s="30" t="s">
        <v>4690</v>
      </c>
      <c r="G5" s="30" t="s">
        <v>581</v>
      </c>
    </row>
    <row r="6" customFormat="false" ht="15" hidden="false" customHeight="false" outlineLevel="0" collapsed="false">
      <c r="A6" s="30" t="s">
        <v>4685</v>
      </c>
      <c r="B6" s="30" t="s">
        <v>4686</v>
      </c>
      <c r="C6" s="30" t="n">
        <v>5</v>
      </c>
      <c r="D6" s="30" t="s">
        <v>581</v>
      </c>
      <c r="E6" s="30" t="str">
        <f aca="false">IFERROR(INDEX('Agent Roster'!$B:$B,MATCH(D6,'Agent Roster'!$A:$A,0)),"(group / any)")</f>
        <v>Appointment &amp; Show-Rate Agent</v>
      </c>
      <c r="F6" s="30" t="s">
        <v>4691</v>
      </c>
      <c r="G6" s="30" t="s">
        <v>603</v>
      </c>
    </row>
    <row r="7" customFormat="false" ht="15" hidden="false" customHeight="false" outlineLevel="0" collapsed="false">
      <c r="A7" s="30" t="s">
        <v>4685</v>
      </c>
      <c r="B7" s="30" t="s">
        <v>4686</v>
      </c>
      <c r="C7" s="30" t="n">
        <v>6</v>
      </c>
      <c r="D7" s="30" t="s">
        <v>603</v>
      </c>
      <c r="E7" s="30" t="str">
        <f aca="false">IFERROR(INDEX('Agent Roster'!$B:$B,MATCH(D7,'Agent Roster'!$A:$A,0)),"(group / any)")</f>
        <v>Sales Call Copilot (7-Step Script)</v>
      </c>
      <c r="F7" s="30" t="s">
        <v>4692</v>
      </c>
      <c r="G7" s="30" t="s">
        <v>618</v>
      </c>
    </row>
    <row r="8" customFormat="false" ht="15" hidden="false" customHeight="false" outlineLevel="0" collapsed="false">
      <c r="A8" s="30" t="s">
        <v>4685</v>
      </c>
      <c r="B8" s="30" t="s">
        <v>4686</v>
      </c>
      <c r="C8" s="30" t="n">
        <v>7</v>
      </c>
      <c r="D8" s="30" t="s">
        <v>618</v>
      </c>
      <c r="E8" s="30" t="str">
        <f aca="false">IFERROR(INDEX('Agent Roster'!$B:$B,MATCH(D8,'Agent Roster'!$A:$A,0)),"(group / any)")</f>
        <v>Objection Handling Coach (I.A.C.E.)</v>
      </c>
      <c r="F8" s="30" t="s">
        <v>4693</v>
      </c>
      <c r="G8" s="30" t="s">
        <v>630</v>
      </c>
    </row>
    <row r="9" customFormat="false" ht="15" hidden="false" customHeight="false" outlineLevel="0" collapsed="false">
      <c r="A9" s="30" t="s">
        <v>4685</v>
      </c>
      <c r="B9" s="30" t="s">
        <v>4686</v>
      </c>
      <c r="C9" s="30" t="n">
        <v>8</v>
      </c>
      <c r="D9" s="30" t="s">
        <v>630</v>
      </c>
      <c r="E9" s="30" t="str">
        <f aca="false">IFERROR(INDEX('Agent Roster'!$B:$B,MATCH(D9,'Agent Roster'!$A:$A,0)),"(group / any)")</f>
        <v>Offer Architect</v>
      </c>
      <c r="F9" s="30" t="s">
        <v>4694</v>
      </c>
      <c r="G9" s="30" t="s">
        <v>642</v>
      </c>
    </row>
    <row r="10" customFormat="false" ht="15" hidden="false" customHeight="false" outlineLevel="0" collapsed="false">
      <c r="A10" s="30" t="s">
        <v>4685</v>
      </c>
      <c r="B10" s="30" t="s">
        <v>4686</v>
      </c>
      <c r="C10" s="30" t="n">
        <v>9</v>
      </c>
      <c r="D10" s="30" t="s">
        <v>642</v>
      </c>
      <c r="E10" s="30" t="str">
        <f aca="false">IFERROR(INDEX('Agent Roster'!$B:$B,MATCH(D10,'Agent Roster'!$A:$A,0)),"(group / any)")</f>
        <v>Proposal &amp; Contract Generator</v>
      </c>
      <c r="F10" s="30" t="s">
        <v>4695</v>
      </c>
      <c r="G10" s="30" t="s">
        <v>47</v>
      </c>
    </row>
    <row r="11" customFormat="false" ht="15" hidden="false" customHeight="false" outlineLevel="0" collapsed="false">
      <c r="A11" s="30" t="s">
        <v>4685</v>
      </c>
      <c r="B11" s="30" t="s">
        <v>4686</v>
      </c>
      <c r="C11" s="30" t="n">
        <v>10</v>
      </c>
      <c r="D11" s="30" t="s">
        <v>47</v>
      </c>
      <c r="E11" s="30" t="str">
        <f aca="false">IFERROR(INDEX('Agent Roster'!$B:$B,MATCH(D11,'Agent Roster'!$A:$A,0)),"(group / any)")</f>
        <v>Founder / Operator (HUMAN)</v>
      </c>
      <c r="F11" s="30" t="s">
        <v>4696</v>
      </c>
      <c r="G11" s="30" t="s">
        <v>675</v>
      </c>
    </row>
    <row r="12" customFormat="false" ht="15" hidden="false" customHeight="false" outlineLevel="0" collapsed="false">
      <c r="A12" s="30" t="s">
        <v>4685</v>
      </c>
      <c r="B12" s="30" t="s">
        <v>4686</v>
      </c>
      <c r="C12" s="30" t="n">
        <v>11</v>
      </c>
      <c r="D12" s="30" t="s">
        <v>675</v>
      </c>
      <c r="E12" s="30" t="str">
        <f aca="false">IFERROR(INDEX('Agent Roster'!$B:$B,MATCH(D12,'Agent Roster'!$A:$A,0)),"(group / any)")</f>
        <v>Sales-to-Onboarding Handoff Agent</v>
      </c>
      <c r="F12" s="30" t="s">
        <v>4697</v>
      </c>
      <c r="G12" s="30" t="s">
        <v>840</v>
      </c>
    </row>
    <row r="13" customFormat="false" ht="22.35" hidden="false" customHeight="false" outlineLevel="0" collapsed="false">
      <c r="A13" s="30" t="s">
        <v>4685</v>
      </c>
      <c r="B13" s="30" t="s">
        <v>4686</v>
      </c>
      <c r="C13" s="30" t="n">
        <v>12</v>
      </c>
      <c r="D13" s="30" t="s">
        <v>840</v>
      </c>
      <c r="E13" s="30" t="str">
        <f aca="false">IFERROR(INDEX('Agent Roster'!$B:$B,MATCH(D13,'Agent Roster'!$A:$A,0)),"(group / any)")</f>
        <v>Capital Flow Accounting &amp; Collections Agent</v>
      </c>
      <c r="F13" s="30" t="s">
        <v>4698</v>
      </c>
      <c r="G13" s="30" t="s">
        <v>817</v>
      </c>
    </row>
    <row r="14" customFormat="false" ht="15" hidden="false" customHeight="false" outlineLevel="0" collapsed="false">
      <c r="A14" s="30" t="s">
        <v>4685</v>
      </c>
      <c r="B14" s="30" t="s">
        <v>4686</v>
      </c>
      <c r="C14" s="30" t="n">
        <v>13</v>
      </c>
      <c r="D14" s="30" t="s">
        <v>817</v>
      </c>
      <c r="E14" s="30" t="str">
        <f aca="false">IFERROR(INDEX('Agent Roster'!$B:$B,MATCH(D14,'Agent Roster'!$A:$A,0)),"(group / any)")</f>
        <v>Commission Agent</v>
      </c>
      <c r="F14" s="30" t="s">
        <v>4699</v>
      </c>
      <c r="G14" s="30" t="s">
        <v>686</v>
      </c>
    </row>
    <row r="15" customFormat="false" ht="22.35" hidden="false" customHeight="false" outlineLevel="0" collapsed="false">
      <c r="A15" s="30" t="s">
        <v>4685</v>
      </c>
      <c r="B15" s="30" t="s">
        <v>4686</v>
      </c>
      <c r="C15" s="30" t="n">
        <v>14</v>
      </c>
      <c r="D15" s="30" t="s">
        <v>686</v>
      </c>
      <c r="E15" s="30" t="str">
        <f aca="false">IFERROR(INDEX('Agent Roster'!$B:$B,MATCH(D15,'Agent Roster'!$A:$A,0)),"(group / any)")</f>
        <v>Funnel Conversion Analyst</v>
      </c>
      <c r="F15" s="30" t="s">
        <v>4700</v>
      </c>
      <c r="G15" s="30" t="s">
        <v>4701</v>
      </c>
    </row>
    <row r="16" customFormat="false" ht="15" hidden="false" customHeight="false" outlineLevel="0" collapsed="false">
      <c r="A16" s="19" t="s">
        <v>4702</v>
      </c>
      <c r="B16" s="19" t="s">
        <v>4703</v>
      </c>
      <c r="C16" s="19" t="n">
        <v>1</v>
      </c>
      <c r="D16" s="19" t="s">
        <v>1082</v>
      </c>
      <c r="E16" s="19" t="str">
        <f aca="false">IFERROR(INDEX('Agent Roster'!$B:$B,MATCH(D16,'Agent Roster'!$A:$A,0)),"(group / any)")</f>
        <v>Pre-Immersion Prep Agent</v>
      </c>
      <c r="F16" s="19" t="s">
        <v>4704</v>
      </c>
      <c r="G16" s="19" t="s">
        <v>1088</v>
      </c>
    </row>
    <row r="17" customFormat="false" ht="15" hidden="false" customHeight="false" outlineLevel="0" collapsed="false">
      <c r="A17" s="19" t="s">
        <v>4702</v>
      </c>
      <c r="B17" s="19" t="s">
        <v>4703</v>
      </c>
      <c r="C17" s="19" t="n">
        <v>2</v>
      </c>
      <c r="D17" s="19" t="s">
        <v>1088</v>
      </c>
      <c r="E17" s="19" t="str">
        <f aca="false">IFERROR(INDEX('Agent Roster'!$B:$B,MATCH(D17,'Agent Roster'!$A:$A,0)),"(group / any)")</f>
        <v>Immersion Capture Agent</v>
      </c>
      <c r="F17" s="19" t="s">
        <v>4705</v>
      </c>
      <c r="G17" s="19" t="s">
        <v>1097</v>
      </c>
    </row>
    <row r="18" customFormat="false" ht="15" hidden="false" customHeight="false" outlineLevel="0" collapsed="false">
      <c r="A18" s="19" t="s">
        <v>4702</v>
      </c>
      <c r="B18" s="19" t="s">
        <v>4703</v>
      </c>
      <c r="C18" s="19" t="n">
        <v>3</v>
      </c>
      <c r="D18" s="19" t="s">
        <v>1097</v>
      </c>
      <c r="E18" s="19" t="str">
        <f aca="false">IFERROR(INDEX('Agent Roster'!$B:$B,MATCH(D18,'Agent Roster'!$A:$A,0)),"(group / any)")</f>
        <v>Blueprint Agent</v>
      </c>
      <c r="F18" s="19" t="s">
        <v>4706</v>
      </c>
      <c r="G18" s="19" t="s">
        <v>47</v>
      </c>
    </row>
    <row r="19" customFormat="false" ht="15" hidden="false" customHeight="false" outlineLevel="0" collapsed="false">
      <c r="A19" s="19" t="s">
        <v>4702</v>
      </c>
      <c r="B19" s="19" t="s">
        <v>4703</v>
      </c>
      <c r="C19" s="19" t="n">
        <v>4</v>
      </c>
      <c r="D19" s="19" t="s">
        <v>47</v>
      </c>
      <c r="E19" s="19" t="str">
        <f aca="false">IFERROR(INDEX('Agent Roster'!$B:$B,MATCH(D19,'Agent Roster'!$A:$A,0)),"(group / any)")</f>
        <v>Founder / Operator (HUMAN)</v>
      </c>
      <c r="F19" s="19" t="s">
        <v>4707</v>
      </c>
      <c r="G19" s="19" t="s">
        <v>728</v>
      </c>
    </row>
    <row r="20" customFormat="false" ht="15" hidden="false" customHeight="false" outlineLevel="0" collapsed="false">
      <c r="A20" s="19" t="s">
        <v>4702</v>
      </c>
      <c r="B20" s="19" t="s">
        <v>4703</v>
      </c>
      <c r="C20" s="19" t="n">
        <v>5</v>
      </c>
      <c r="D20" s="19" t="s">
        <v>728</v>
      </c>
      <c r="E20" s="19" t="str">
        <f aca="false">IFERROR(INDEX('Agent Roster'!$B:$B,MATCH(D20,'Agent Roster'!$A:$A,0)),"(group / any)")</f>
        <v>Project Manager Agent</v>
      </c>
      <c r="F20" s="19" t="s">
        <v>4708</v>
      </c>
      <c r="G20" s="19" t="s">
        <v>752</v>
      </c>
    </row>
    <row r="21" customFormat="false" ht="15" hidden="false" customHeight="false" outlineLevel="0" collapsed="false">
      <c r="A21" s="19" t="s">
        <v>4702</v>
      </c>
      <c r="B21" s="19" t="s">
        <v>4703</v>
      </c>
      <c r="C21" s="19" t="n">
        <v>6</v>
      </c>
      <c r="D21" s="19" t="s">
        <v>752</v>
      </c>
      <c r="E21" s="19" t="str">
        <f aca="false">IFERROR(INDEX('Agent Roster'!$B:$B,MATCH(D21,'Agent Roster'!$A:$A,0)),"(group / any)")</f>
        <v>Client Build Agent</v>
      </c>
      <c r="F21" s="19" t="s">
        <v>4709</v>
      </c>
      <c r="G21" s="19" t="s">
        <v>716</v>
      </c>
    </row>
    <row r="22" customFormat="false" ht="15" hidden="false" customHeight="false" outlineLevel="0" collapsed="false">
      <c r="A22" s="19" t="s">
        <v>4702</v>
      </c>
      <c r="B22" s="19" t="s">
        <v>4703</v>
      </c>
      <c r="C22" s="19" t="n">
        <v>7</v>
      </c>
      <c r="D22" s="19" t="s">
        <v>716</v>
      </c>
      <c r="E22" s="19" t="str">
        <f aca="false">IFERROR(INDEX('Agent Roster'!$B:$B,MATCH(D22,'Agent Roster'!$A:$A,0)),"(group / any)")</f>
        <v>Quality Control Agent (Correctness pillar)</v>
      </c>
      <c r="F22" s="19" t="s">
        <v>4710</v>
      </c>
      <c r="G22" s="19" t="s">
        <v>302</v>
      </c>
    </row>
    <row r="23" customFormat="false" ht="22.35" hidden="false" customHeight="false" outlineLevel="0" collapsed="false">
      <c r="A23" s="19" t="s">
        <v>4702</v>
      </c>
      <c r="B23" s="19" t="s">
        <v>4703</v>
      </c>
      <c r="C23" s="19" t="n">
        <v>8</v>
      </c>
      <c r="D23" s="19" t="s">
        <v>302</v>
      </c>
      <c r="E23" s="19" t="str">
        <f aca="false">IFERROR(INDEX('Agent Roster'!$B:$B,MATCH(D23,'Agent Roster'!$A:$A,0)),"(group / any)")</f>
        <v>Database &amp; Documentation Agent (Shepherd's Way Step 06)</v>
      </c>
      <c r="F23" s="19" t="s">
        <v>4711</v>
      </c>
      <c r="G23" s="19" t="s">
        <v>1112</v>
      </c>
    </row>
    <row r="24" customFormat="false" ht="15" hidden="false" customHeight="false" outlineLevel="0" collapsed="false">
      <c r="A24" s="19" t="s">
        <v>4702</v>
      </c>
      <c r="B24" s="19" t="s">
        <v>4703</v>
      </c>
      <c r="C24" s="19" t="n">
        <v>9</v>
      </c>
      <c r="D24" s="19" t="s">
        <v>1112</v>
      </c>
      <c r="E24" s="19" t="str">
        <f aca="false">IFERROR(INDEX('Agent Roster'!$B:$B,MATCH(D24,'Agent Roster'!$A:$A,0)),"(group / any)")</f>
        <v>Account Manager Agent</v>
      </c>
      <c r="F24" s="19" t="s">
        <v>4712</v>
      </c>
      <c r="G24" s="19" t="s">
        <v>1135</v>
      </c>
    </row>
    <row r="25" customFormat="false" ht="15" hidden="false" customHeight="false" outlineLevel="0" collapsed="false">
      <c r="A25" s="19" t="s">
        <v>4702</v>
      </c>
      <c r="B25" s="19" t="s">
        <v>4703</v>
      </c>
      <c r="C25" s="19" t="n">
        <v>10</v>
      </c>
      <c r="D25" s="19" t="s">
        <v>1135</v>
      </c>
      <c r="E25" s="19" t="str">
        <f aca="false">IFERROR(INDEX('Agent Roster'!$B:$B,MATCH(D25,'Agent Roster'!$A:$A,0)),"(group / any)")</f>
        <v>Client BEAS &amp; Results Reporter</v>
      </c>
      <c r="F25" s="19" t="s">
        <v>4713</v>
      </c>
      <c r="G25" s="19" t="s">
        <v>1181</v>
      </c>
    </row>
    <row r="26" customFormat="false" ht="22.35" hidden="false" customHeight="false" outlineLevel="0" collapsed="false">
      <c r="A26" s="19" t="s">
        <v>4702</v>
      </c>
      <c r="B26" s="19" t="s">
        <v>4703</v>
      </c>
      <c r="C26" s="19" t="n">
        <v>11</v>
      </c>
      <c r="D26" s="19" t="s">
        <v>1181</v>
      </c>
      <c r="E26" s="19" t="str">
        <f aca="false">IFERROR(INDEX('Agent Roster'!$B:$B,MATCH(D26,'Agent Roster'!$A:$A,0)),"(group / any)")</f>
        <v>Quarterly Immersion Review Agent</v>
      </c>
      <c r="F26" s="19" t="s">
        <v>4714</v>
      </c>
      <c r="G26" s="19" t="s">
        <v>4701</v>
      </c>
    </row>
    <row r="27" customFormat="false" ht="15" hidden="false" customHeight="false" outlineLevel="0" collapsed="false">
      <c r="A27" s="30" t="s">
        <v>4715</v>
      </c>
      <c r="B27" s="30" t="s">
        <v>4716</v>
      </c>
      <c r="C27" s="30" t="n">
        <v>1</v>
      </c>
      <c r="D27" s="30" t="s">
        <v>1135</v>
      </c>
      <c r="E27" s="30" t="str">
        <f aca="false">IFERROR(INDEX('Agent Roster'!$B:$B,MATCH(D27,'Agent Roster'!$A:$A,0)),"(group / any)")</f>
        <v>Client BEAS &amp; Results Reporter</v>
      </c>
      <c r="F27" s="30" t="s">
        <v>4717</v>
      </c>
      <c r="G27" s="30" t="s">
        <v>1169</v>
      </c>
    </row>
    <row r="28" customFormat="false" ht="15" hidden="false" customHeight="false" outlineLevel="0" collapsed="false">
      <c r="A28" s="30" t="s">
        <v>4715</v>
      </c>
      <c r="B28" s="30" t="s">
        <v>4716</v>
      </c>
      <c r="C28" s="30" t="n">
        <v>2</v>
      </c>
      <c r="D28" s="30" t="s">
        <v>1169</v>
      </c>
      <c r="E28" s="30" t="str">
        <f aca="false">IFERROR(INDEX('Agent Roster'!$B:$B,MATCH(D28,'Agent Roster'!$A:$A,0)),"(group / any)")</f>
        <v>Expansion &amp; Referral Agent</v>
      </c>
      <c r="F28" s="30" t="s">
        <v>4718</v>
      </c>
      <c r="G28" s="30" t="s">
        <v>1146</v>
      </c>
    </row>
    <row r="29" customFormat="false" ht="15" hidden="false" customHeight="false" outlineLevel="0" collapsed="false">
      <c r="A29" s="30" t="s">
        <v>4715</v>
      </c>
      <c r="B29" s="30" t="s">
        <v>4716</v>
      </c>
      <c r="C29" s="30" t="n">
        <v>3</v>
      </c>
      <c r="D29" s="30" t="s">
        <v>1146</v>
      </c>
      <c r="E29" s="30" t="str">
        <f aca="false">IFERROR(INDEX('Agent Roster'!$B:$B,MATCH(D29,'Agent Roster'!$A:$A,0)),"(group / any)")</f>
        <v>NPS &amp; Client Feedback Agent</v>
      </c>
      <c r="F29" s="30" t="s">
        <v>4719</v>
      </c>
      <c r="G29" s="30" t="s">
        <v>1157</v>
      </c>
    </row>
    <row r="30" customFormat="false" ht="15" hidden="false" customHeight="false" outlineLevel="0" collapsed="false">
      <c r="A30" s="30" t="s">
        <v>4715</v>
      </c>
      <c r="B30" s="30" t="s">
        <v>4716</v>
      </c>
      <c r="C30" s="30" t="n">
        <v>4</v>
      </c>
      <c r="D30" s="30" t="s">
        <v>1157</v>
      </c>
      <c r="E30" s="30" t="str">
        <f aca="false">IFERROR(INDEX('Agent Roster'!$B:$B,MATCH(D30,'Agent Roster'!$A:$A,0)),"(group / any)")</f>
        <v>Churn Prevention Agent</v>
      </c>
      <c r="F30" s="30" t="s">
        <v>4720</v>
      </c>
      <c r="G30" s="30" t="s">
        <v>1191</v>
      </c>
    </row>
    <row r="31" customFormat="false" ht="15" hidden="false" customHeight="false" outlineLevel="0" collapsed="false">
      <c r="A31" s="30" t="s">
        <v>4715</v>
      </c>
      <c r="B31" s="30" t="s">
        <v>4716</v>
      </c>
      <c r="C31" s="30" t="n">
        <v>5</v>
      </c>
      <c r="D31" s="30" t="s">
        <v>1191</v>
      </c>
      <c r="E31" s="30" t="str">
        <f aca="false">IFERROR(INDEX('Agent Roster'!$B:$B,MATCH(D31,'Agent Roster'!$A:$A,0)),"(group / any)")</f>
        <v>Community &amp; Movement Agent</v>
      </c>
      <c r="F31" s="30" t="s">
        <v>4721</v>
      </c>
      <c r="G31" s="30" t="s">
        <v>603</v>
      </c>
    </row>
    <row r="32" customFormat="false" ht="15" hidden="false" customHeight="false" outlineLevel="0" collapsed="false">
      <c r="A32" s="30" t="s">
        <v>4715</v>
      </c>
      <c r="B32" s="30" t="s">
        <v>4716</v>
      </c>
      <c r="C32" s="30" t="n">
        <v>6</v>
      </c>
      <c r="D32" s="30" t="s">
        <v>603</v>
      </c>
      <c r="E32" s="30" t="str">
        <f aca="false">IFERROR(INDEX('Agent Roster'!$B:$B,MATCH(D32,'Agent Roster'!$A:$A,0)),"(group / any)")</f>
        <v>Sales Call Copilot (7-Step Script)</v>
      </c>
      <c r="F32" s="30" t="s">
        <v>4722</v>
      </c>
      <c r="G32" s="30" t="s">
        <v>251</v>
      </c>
    </row>
    <row r="33" customFormat="false" ht="22.35" hidden="false" customHeight="false" outlineLevel="0" collapsed="false">
      <c r="A33" s="30" t="s">
        <v>4715</v>
      </c>
      <c r="B33" s="30" t="s">
        <v>4716</v>
      </c>
      <c r="C33" s="30" t="n">
        <v>7</v>
      </c>
      <c r="D33" s="30" t="s">
        <v>251</v>
      </c>
      <c r="E33" s="30" t="str">
        <f aca="false">IFERROR(INDEX('Agent Roster'!$B:$B,MATCH(D33,'Agent Roster'!$A:$A,0)),"(group / any)")</f>
        <v>Capsule Integrator (Layer I.G post-mortems)</v>
      </c>
      <c r="F33" s="30" t="s">
        <v>4723</v>
      </c>
      <c r="G33" s="30" t="s">
        <v>4701</v>
      </c>
    </row>
    <row r="34" customFormat="false" ht="22.35" hidden="false" customHeight="false" outlineLevel="0" collapsed="false">
      <c r="A34" s="19" t="s">
        <v>4724</v>
      </c>
      <c r="B34" s="19" t="s">
        <v>4725</v>
      </c>
      <c r="C34" s="19" t="n">
        <v>1</v>
      </c>
      <c r="D34" s="19" t="s">
        <v>174</v>
      </c>
      <c r="E34" s="19" t="str">
        <f aca="false">IFERROR(INDEX('Agent Roster'!$B:$B,MATCH(D34,'Agent Roster'!$A:$A,0)),"(group / any)")</f>
        <v>Shepherd's Way Cycle Controller (Layer VI)</v>
      </c>
      <c r="F34" s="19" t="s">
        <v>4726</v>
      </c>
      <c r="G34" s="19" t="s">
        <v>174</v>
      </c>
    </row>
    <row r="35" customFormat="false" ht="22.35" hidden="false" customHeight="false" outlineLevel="0" collapsed="false">
      <c r="A35" s="19" t="s">
        <v>4724</v>
      </c>
      <c r="B35" s="19" t="s">
        <v>4725</v>
      </c>
      <c r="C35" s="19" t="n">
        <v>2</v>
      </c>
      <c r="D35" s="19" t="s">
        <v>174</v>
      </c>
      <c r="E35" s="19" t="str">
        <f aca="false">IFERROR(INDEX('Agent Roster'!$B:$B,MATCH(D35,'Agent Roster'!$A:$A,0)),"(group / any)")</f>
        <v>Shepherd's Way Cycle Controller (Layer VI)</v>
      </c>
      <c r="F35" s="19" t="s">
        <v>4727</v>
      </c>
      <c r="G35" s="19" t="s">
        <v>174</v>
      </c>
    </row>
    <row r="36" customFormat="false" ht="22.35" hidden="false" customHeight="false" outlineLevel="0" collapsed="false">
      <c r="A36" s="19" t="s">
        <v>4724</v>
      </c>
      <c r="B36" s="19" t="s">
        <v>4725</v>
      </c>
      <c r="C36" s="19" t="n">
        <v>3</v>
      </c>
      <c r="D36" s="19" t="s">
        <v>174</v>
      </c>
      <c r="E36" s="19" t="str">
        <f aca="false">IFERROR(INDEX('Agent Roster'!$B:$B,MATCH(D36,'Agent Roster'!$A:$A,0)),"(group / any)")</f>
        <v>Shepherd's Way Cycle Controller (Layer VI)</v>
      </c>
      <c r="F36" s="19" t="s">
        <v>4728</v>
      </c>
      <c r="G36" s="19" t="s">
        <v>174</v>
      </c>
    </row>
    <row r="37" customFormat="false" ht="22.35" hidden="false" customHeight="false" outlineLevel="0" collapsed="false">
      <c r="A37" s="19" t="s">
        <v>4724</v>
      </c>
      <c r="B37" s="19" t="s">
        <v>4725</v>
      </c>
      <c r="C37" s="19" t="n">
        <v>4</v>
      </c>
      <c r="D37" s="19" t="s">
        <v>174</v>
      </c>
      <c r="E37" s="19" t="str">
        <f aca="false">IFERROR(INDEX('Agent Roster'!$B:$B,MATCH(D37,'Agent Roster'!$A:$A,0)),"(group / any)")</f>
        <v>Shepherd's Way Cycle Controller (Layer VI)</v>
      </c>
      <c r="F37" s="19" t="s">
        <v>4729</v>
      </c>
      <c r="G37" s="19" t="s">
        <v>4730</v>
      </c>
    </row>
    <row r="38" customFormat="false" ht="15" hidden="false" customHeight="false" outlineLevel="0" collapsed="false">
      <c r="A38" s="19" t="s">
        <v>4724</v>
      </c>
      <c r="B38" s="19" t="s">
        <v>4725</v>
      </c>
      <c r="C38" s="19" t="n">
        <v>5</v>
      </c>
      <c r="D38" s="19" t="s">
        <v>4730</v>
      </c>
      <c r="E38" s="19" t="str">
        <f aca="false">IFERROR(INDEX('Agent Roster'!$B:$B,MATCH(D38,'Agent Roster'!$A:$A,0)),"(group / any)")</f>
        <v>(group / any)</v>
      </c>
      <c r="F38" s="19" t="s">
        <v>4731</v>
      </c>
      <c r="G38" s="19" t="s">
        <v>302</v>
      </c>
    </row>
    <row r="39" customFormat="false" ht="22.35" hidden="false" customHeight="false" outlineLevel="0" collapsed="false">
      <c r="A39" s="19" t="s">
        <v>4724</v>
      </c>
      <c r="B39" s="19" t="s">
        <v>4725</v>
      </c>
      <c r="C39" s="19" t="n">
        <v>6</v>
      </c>
      <c r="D39" s="19" t="s">
        <v>302</v>
      </c>
      <c r="E39" s="19" t="str">
        <f aca="false">IFERROR(INDEX('Agent Roster'!$B:$B,MATCH(D39,'Agent Roster'!$A:$A,0)),"(group / any)")</f>
        <v>Database &amp; Documentation Agent (Shepherd's Way Step 06)</v>
      </c>
      <c r="F39" s="19" t="s">
        <v>4732</v>
      </c>
      <c r="G39" s="19" t="s">
        <v>174</v>
      </c>
    </row>
    <row r="40" customFormat="false" ht="22.35" hidden="false" customHeight="false" outlineLevel="0" collapsed="false">
      <c r="A40" s="19" t="s">
        <v>4724</v>
      </c>
      <c r="B40" s="19" t="s">
        <v>4725</v>
      </c>
      <c r="C40" s="19" t="n">
        <v>7</v>
      </c>
      <c r="D40" s="19" t="s">
        <v>174</v>
      </c>
      <c r="E40" s="19" t="str">
        <f aca="false">IFERROR(INDEX('Agent Roster'!$B:$B,MATCH(D40,'Agent Roster'!$A:$A,0)),"(group / any)")</f>
        <v>Shepherd's Way Cycle Controller (Layer VI)</v>
      </c>
      <c r="F40" s="19" t="s">
        <v>4733</v>
      </c>
      <c r="G40" s="19" t="s">
        <v>103</v>
      </c>
    </row>
    <row r="41" customFormat="false" ht="22.35" hidden="false" customHeight="false" outlineLevel="0" collapsed="false">
      <c r="A41" s="19" t="s">
        <v>4724</v>
      </c>
      <c r="B41" s="19" t="s">
        <v>4725</v>
      </c>
      <c r="C41" s="19" t="n">
        <v>8</v>
      </c>
      <c r="D41" s="19" t="s">
        <v>103</v>
      </c>
      <c r="E41" s="19" t="str">
        <f aca="false">IFERROR(INDEX('Agent Roster'!$B:$B,MATCH(D41,'Agent Roster'!$A:$A,0)),"(group / any)")</f>
        <v>Framework Compliance Auditor</v>
      </c>
      <c r="F41" s="19" t="s">
        <v>4734</v>
      </c>
      <c r="G41" s="19" t="s">
        <v>4701</v>
      </c>
    </row>
    <row r="42" customFormat="false" ht="15" hidden="false" customHeight="false" outlineLevel="0" collapsed="false">
      <c r="A42" s="30" t="s">
        <v>4735</v>
      </c>
      <c r="B42" s="30" t="s">
        <v>4736</v>
      </c>
      <c r="C42" s="30" t="n">
        <v>1</v>
      </c>
      <c r="D42" s="30" t="s">
        <v>4737</v>
      </c>
      <c r="E42" s="30" t="str">
        <f aca="false">IFERROR(INDEX('Agent Roster'!$B:$B,MATCH(D42,'Agent Roster'!$A:$A,0)),"(group / any)")</f>
        <v>(group / any)</v>
      </c>
      <c r="F42" s="30" t="s">
        <v>4738</v>
      </c>
      <c r="G42" s="30" t="s">
        <v>187</v>
      </c>
    </row>
    <row r="43" customFormat="false" ht="22.35" hidden="false" customHeight="false" outlineLevel="0" collapsed="false">
      <c r="A43" s="30" t="s">
        <v>4735</v>
      </c>
      <c r="B43" s="30" t="s">
        <v>4736</v>
      </c>
      <c r="C43" s="30" t="n">
        <v>2</v>
      </c>
      <c r="D43" s="30" t="s">
        <v>187</v>
      </c>
      <c r="E43" s="30" t="str">
        <f aca="false">IFERROR(INDEX('Agent Roster'!$B:$B,MATCH(D43,'Agent Roster'!$A:$A,0)),"(group / any)")</f>
        <v>BEAS Auditor (Layer V Garlick Equilibrium)</v>
      </c>
      <c r="F43" s="30" t="s">
        <v>4739</v>
      </c>
      <c r="G43" s="30" t="s">
        <v>47</v>
      </c>
    </row>
    <row r="44" customFormat="false" ht="15" hidden="false" customHeight="false" outlineLevel="0" collapsed="false">
      <c r="A44" s="30" t="s">
        <v>4735</v>
      </c>
      <c r="B44" s="30" t="s">
        <v>4736</v>
      </c>
      <c r="C44" s="30" t="n">
        <v>3</v>
      </c>
      <c r="D44" s="30" t="s">
        <v>47</v>
      </c>
      <c r="E44" s="30" t="str">
        <f aca="false">IFERROR(INDEX('Agent Roster'!$B:$B,MATCH(D44,'Agent Roster'!$A:$A,0)),"(group / any)")</f>
        <v>Founder / Operator (HUMAN)</v>
      </c>
      <c r="F44" s="30" t="s">
        <v>4740</v>
      </c>
      <c r="G44" s="30" t="s">
        <v>220</v>
      </c>
    </row>
    <row r="45" customFormat="false" ht="15" hidden="false" customHeight="false" outlineLevel="0" collapsed="false">
      <c r="A45" s="30" t="s">
        <v>4735</v>
      </c>
      <c r="B45" s="30" t="s">
        <v>4736</v>
      </c>
      <c r="C45" s="30" t="n">
        <v>4</v>
      </c>
      <c r="D45" s="30" t="s">
        <v>220</v>
      </c>
      <c r="E45" s="30" t="str">
        <f aca="false">IFERROR(INDEX('Agent Roster'!$B:$B,MATCH(D45,'Agent Roster'!$A:$A,0)),"(group / any)")</f>
        <v>Dynamic Middle Balancer (Layer I.D)</v>
      </c>
      <c r="F45" s="30" t="s">
        <v>4741</v>
      </c>
      <c r="G45" s="30" t="s">
        <v>187</v>
      </c>
    </row>
    <row r="46" customFormat="false" ht="22.35" hidden="false" customHeight="false" outlineLevel="0" collapsed="false">
      <c r="A46" s="30" t="s">
        <v>4735</v>
      </c>
      <c r="B46" s="30" t="s">
        <v>4736</v>
      </c>
      <c r="C46" s="30" t="n">
        <v>5</v>
      </c>
      <c r="D46" s="30" t="s">
        <v>187</v>
      </c>
      <c r="E46" s="30" t="str">
        <f aca="false">IFERROR(INDEX('Agent Roster'!$B:$B,MATCH(D46,'Agent Roster'!$A:$A,0)),"(group / any)")</f>
        <v>BEAS Auditor (Layer V Garlick Equilibrium)</v>
      </c>
      <c r="F46" s="30" t="s">
        <v>4742</v>
      </c>
      <c r="G46" s="30" t="s">
        <v>174</v>
      </c>
    </row>
    <row r="47" customFormat="false" ht="22.35" hidden="false" customHeight="false" outlineLevel="0" collapsed="false">
      <c r="A47" s="30" t="s">
        <v>4735</v>
      </c>
      <c r="B47" s="30" t="s">
        <v>4736</v>
      </c>
      <c r="C47" s="30" t="n">
        <v>6</v>
      </c>
      <c r="D47" s="30" t="s">
        <v>174</v>
      </c>
      <c r="E47" s="30" t="str">
        <f aca="false">IFERROR(INDEX('Agent Roster'!$B:$B,MATCH(D47,'Agent Roster'!$A:$A,0)),"(group / any)")</f>
        <v>Shepherd's Way Cycle Controller (Layer VI)</v>
      </c>
      <c r="F47" s="30" t="s">
        <v>4743</v>
      </c>
      <c r="G47" s="30" t="s">
        <v>187</v>
      </c>
    </row>
    <row r="48" customFormat="false" ht="22.35" hidden="false" customHeight="false" outlineLevel="0" collapsed="false">
      <c r="A48" s="30" t="s">
        <v>4735</v>
      </c>
      <c r="B48" s="30" t="s">
        <v>4736</v>
      </c>
      <c r="C48" s="30" t="n">
        <v>7</v>
      </c>
      <c r="D48" s="30" t="s">
        <v>187</v>
      </c>
      <c r="E48" s="30" t="str">
        <f aca="false">IFERROR(INDEX('Agent Roster'!$B:$B,MATCH(D48,'Agent Roster'!$A:$A,0)),"(group / any)")</f>
        <v>BEAS Auditor (Layer V Garlick Equilibrium)</v>
      </c>
      <c r="F48" s="30" t="s">
        <v>4744</v>
      </c>
      <c r="G48" s="30" t="s">
        <v>4701</v>
      </c>
    </row>
    <row r="49" customFormat="false" ht="15" hidden="false" customHeight="false" outlineLevel="0" collapsed="false">
      <c r="A49" s="19" t="s">
        <v>4745</v>
      </c>
      <c r="B49" s="19" t="s">
        <v>4746</v>
      </c>
      <c r="C49" s="19" t="n">
        <v>1</v>
      </c>
      <c r="D49" s="19" t="s">
        <v>859</v>
      </c>
      <c r="E49" s="19" t="str">
        <f aca="false">IFERROR(INDEX('Agent Roster'!$B:$B,MATCH(D49,'Agent Roster'!$A:$A,0)),"(group / any)")</f>
        <v>Recruiting Agent</v>
      </c>
      <c r="F49" s="19" t="s">
        <v>4747</v>
      </c>
      <c r="G49" s="19" t="s">
        <v>47</v>
      </c>
    </row>
    <row r="50" customFormat="false" ht="15" hidden="false" customHeight="false" outlineLevel="0" collapsed="false">
      <c r="A50" s="19" t="s">
        <v>4745</v>
      </c>
      <c r="B50" s="19" t="s">
        <v>4746</v>
      </c>
      <c r="C50" s="19" t="n">
        <v>2</v>
      </c>
      <c r="D50" s="19" t="s">
        <v>47</v>
      </c>
      <c r="E50" s="19" t="str">
        <f aca="false">IFERROR(INDEX('Agent Roster'!$B:$B,MATCH(D50,'Agent Roster'!$A:$A,0)),"(group / any)")</f>
        <v>Founder / Operator (HUMAN)</v>
      </c>
      <c r="F50" s="19" t="s">
        <v>4748</v>
      </c>
      <c r="G50" s="19" t="s">
        <v>871</v>
      </c>
    </row>
    <row r="51" customFormat="false" ht="15" hidden="false" customHeight="false" outlineLevel="0" collapsed="false">
      <c r="A51" s="19" t="s">
        <v>4745</v>
      </c>
      <c r="B51" s="19" t="s">
        <v>4746</v>
      </c>
      <c r="C51" s="19" t="n">
        <v>3</v>
      </c>
      <c r="D51" s="19" t="s">
        <v>871</v>
      </c>
      <c r="E51" s="19" t="str">
        <f aca="false">IFERROR(INDEX('Agent Roster'!$B:$B,MATCH(D51,'Agent Roster'!$A:$A,0)),"(group / any)")</f>
        <v>Offer &amp; Compensation Agent</v>
      </c>
      <c r="F51" s="19" t="s">
        <v>4749</v>
      </c>
      <c r="G51" s="19" t="s">
        <v>883</v>
      </c>
    </row>
    <row r="52" customFormat="false" ht="22.35" hidden="false" customHeight="false" outlineLevel="0" collapsed="false">
      <c r="A52" s="19" t="s">
        <v>4745</v>
      </c>
      <c r="B52" s="19" t="s">
        <v>4746</v>
      </c>
      <c r="C52" s="19" t="n">
        <v>4</v>
      </c>
      <c r="D52" s="19" t="s">
        <v>883</v>
      </c>
      <c r="E52" s="19" t="str">
        <f aca="false">IFERROR(INDEX('Agent Roster'!$B:$B,MATCH(D52,'Agent Roster'!$A:$A,0)),"(group / any)")</f>
        <v>Employee Onboarding Agent (Immersion for hires)</v>
      </c>
      <c r="F52" s="19" t="s">
        <v>4750</v>
      </c>
      <c r="G52" s="19" t="s">
        <v>929</v>
      </c>
    </row>
    <row r="53" customFormat="false" ht="15" hidden="false" customHeight="false" outlineLevel="0" collapsed="false">
      <c r="A53" s="19" t="s">
        <v>4745</v>
      </c>
      <c r="B53" s="19" t="s">
        <v>4746</v>
      </c>
      <c r="C53" s="19" t="n">
        <v>5</v>
      </c>
      <c r="D53" s="19" t="s">
        <v>929</v>
      </c>
      <c r="E53" s="19" t="str">
        <f aca="false">IFERROR(INDEX('Agent Roster'!$B:$B,MATCH(D53,'Agent Roster'!$A:$A,0)),"(group / any)")</f>
        <v>Learning &amp; Development Agent</v>
      </c>
      <c r="F53" s="19" t="s">
        <v>4751</v>
      </c>
      <c r="G53" s="19" t="s">
        <v>894</v>
      </c>
    </row>
    <row r="54" customFormat="false" ht="15" hidden="false" customHeight="false" outlineLevel="0" collapsed="false">
      <c r="A54" s="19" t="s">
        <v>4745</v>
      </c>
      <c r="B54" s="19" t="s">
        <v>4746</v>
      </c>
      <c r="C54" s="19" t="n">
        <v>6</v>
      </c>
      <c r="D54" s="19" t="s">
        <v>894</v>
      </c>
      <c r="E54" s="19" t="str">
        <f aca="false">IFERROR(INDEX('Agent Roster'!$B:$B,MATCH(D54,'Agent Roster'!$A:$A,0)),"(group / any)")</f>
        <v>Performance Review Agent</v>
      </c>
      <c r="F54" s="19" t="s">
        <v>4752</v>
      </c>
      <c r="G54" s="19" t="s">
        <v>917</v>
      </c>
    </row>
    <row r="55" customFormat="false" ht="22.35" hidden="false" customHeight="false" outlineLevel="0" collapsed="false">
      <c r="A55" s="19" t="s">
        <v>4745</v>
      </c>
      <c r="B55" s="19" t="s">
        <v>4746</v>
      </c>
      <c r="C55" s="19" t="n">
        <v>7</v>
      </c>
      <c r="D55" s="19" t="s">
        <v>917</v>
      </c>
      <c r="E55" s="19" t="str">
        <f aca="false">IFERROR(INDEX('Agent Roster'!$B:$B,MATCH(D55,'Agent Roster'!$A:$A,0)),"(group / any)")</f>
        <v>Org Design Agent</v>
      </c>
      <c r="F55" s="19" t="s">
        <v>4753</v>
      </c>
      <c r="G55" s="19" t="s">
        <v>4701</v>
      </c>
    </row>
    <row r="56" customFormat="false" ht="15" hidden="false" customHeight="false" outlineLevel="0" collapsed="false">
      <c r="A56" s="30" t="s">
        <v>4754</v>
      </c>
      <c r="B56" s="30" t="s">
        <v>4755</v>
      </c>
      <c r="C56" s="30" t="n">
        <v>1</v>
      </c>
      <c r="D56" s="30" t="s">
        <v>346</v>
      </c>
      <c r="E56" s="30" t="str">
        <f aca="false">IFERROR(INDEX('Agent Roster'!$B:$B,MATCH(D56,'Agent Roster'!$A:$A,0)),"(group / any)")</f>
        <v>Crisis Coordinator</v>
      </c>
      <c r="F56" s="30" t="s">
        <v>4756</v>
      </c>
      <c r="G56" s="30" t="s">
        <v>346</v>
      </c>
    </row>
    <row r="57" customFormat="false" ht="15" hidden="false" customHeight="false" outlineLevel="0" collapsed="false">
      <c r="A57" s="30" t="s">
        <v>4754</v>
      </c>
      <c r="B57" s="30" t="s">
        <v>4755</v>
      </c>
      <c r="C57" s="30" t="n">
        <v>2</v>
      </c>
      <c r="D57" s="30" t="s">
        <v>346</v>
      </c>
      <c r="E57" s="30" t="str">
        <f aca="false">IFERROR(INDEX('Agent Roster'!$B:$B,MATCH(D57,'Agent Roster'!$A:$A,0)),"(group / any)")</f>
        <v>Crisis Coordinator</v>
      </c>
      <c r="F57" s="30" t="s">
        <v>4757</v>
      </c>
      <c r="G57" s="30" t="s">
        <v>47</v>
      </c>
    </row>
    <row r="58" customFormat="false" ht="15" hidden="false" customHeight="false" outlineLevel="0" collapsed="false">
      <c r="A58" s="30" t="s">
        <v>4754</v>
      </c>
      <c r="B58" s="30" t="s">
        <v>4755</v>
      </c>
      <c r="C58" s="30" t="n">
        <v>3</v>
      </c>
      <c r="D58" s="30" t="s">
        <v>47</v>
      </c>
      <c r="E58" s="30" t="str">
        <f aca="false">IFERROR(INDEX('Agent Roster'!$B:$B,MATCH(D58,'Agent Roster'!$A:$A,0)),"(group / any)")</f>
        <v>Founder / Operator (HUMAN)</v>
      </c>
      <c r="F58" s="30" t="s">
        <v>4758</v>
      </c>
      <c r="G58" s="30" t="s">
        <v>346</v>
      </c>
    </row>
    <row r="59" customFormat="false" ht="15" hidden="false" customHeight="false" outlineLevel="0" collapsed="false">
      <c r="A59" s="30" t="s">
        <v>4754</v>
      </c>
      <c r="B59" s="30" t="s">
        <v>4755</v>
      </c>
      <c r="C59" s="30" t="n">
        <v>4</v>
      </c>
      <c r="D59" s="30" t="s">
        <v>346</v>
      </c>
      <c r="E59" s="30" t="str">
        <f aca="false">IFERROR(INDEX('Agent Roster'!$B:$B,MATCH(D59,'Agent Roster'!$A:$A,0)),"(group / any)")</f>
        <v>Crisis Coordinator</v>
      </c>
      <c r="F59" s="30" t="s">
        <v>4759</v>
      </c>
      <c r="G59" s="30" t="s">
        <v>545</v>
      </c>
    </row>
    <row r="60" customFormat="false" ht="22.35" hidden="false" customHeight="false" outlineLevel="0" collapsed="false">
      <c r="A60" s="30" t="s">
        <v>4754</v>
      </c>
      <c r="B60" s="30" t="s">
        <v>4755</v>
      </c>
      <c r="C60" s="30" t="n">
        <v>5</v>
      </c>
      <c r="D60" s="30" t="s">
        <v>545</v>
      </c>
      <c r="E60" s="30" t="str">
        <f aca="false">IFERROR(INDEX('Agent Roster'!$B:$B,MATCH(D60,'Agent Roster'!$A:$A,0)),"(group / any)")</f>
        <v>Communications, Speaking &amp; Influence Agent</v>
      </c>
      <c r="F60" s="30" t="s">
        <v>4760</v>
      </c>
      <c r="G60" s="30" t="s">
        <v>302</v>
      </c>
    </row>
    <row r="61" customFormat="false" ht="22.35" hidden="false" customHeight="false" outlineLevel="0" collapsed="false">
      <c r="A61" s="30" t="s">
        <v>4754</v>
      </c>
      <c r="B61" s="30" t="s">
        <v>4755</v>
      </c>
      <c r="C61" s="30" t="n">
        <v>6</v>
      </c>
      <c r="D61" s="30" t="s">
        <v>302</v>
      </c>
      <c r="E61" s="30" t="str">
        <f aca="false">IFERROR(INDEX('Agent Roster'!$B:$B,MATCH(D61,'Agent Roster'!$A:$A,0)),"(group / any)")</f>
        <v>Database &amp; Documentation Agent (Shepherd's Way Step 06)</v>
      </c>
      <c r="F61" s="30" t="s">
        <v>4761</v>
      </c>
      <c r="G61" s="30" t="s">
        <v>251</v>
      </c>
    </row>
    <row r="62" customFormat="false" ht="22.35" hidden="false" customHeight="false" outlineLevel="0" collapsed="false">
      <c r="A62" s="30" t="s">
        <v>4754</v>
      </c>
      <c r="B62" s="30" t="s">
        <v>4755</v>
      </c>
      <c r="C62" s="30" t="n">
        <v>7</v>
      </c>
      <c r="D62" s="30" t="s">
        <v>251</v>
      </c>
      <c r="E62" s="30" t="str">
        <f aca="false">IFERROR(INDEX('Agent Roster'!$B:$B,MATCH(D62,'Agent Roster'!$A:$A,0)),"(group / any)")</f>
        <v>Capsule Integrator (Layer I.G post-mortems)</v>
      </c>
      <c r="F62" s="30" t="s">
        <v>4762</v>
      </c>
      <c r="G62" s="30" t="s">
        <v>452</v>
      </c>
    </row>
    <row r="63" customFormat="false" ht="22.35" hidden="false" customHeight="false" outlineLevel="0" collapsed="false">
      <c r="A63" s="30" t="s">
        <v>4754</v>
      </c>
      <c r="B63" s="30" t="s">
        <v>4755</v>
      </c>
      <c r="C63" s="30" t="n">
        <v>8</v>
      </c>
      <c r="D63" s="30" t="s">
        <v>452</v>
      </c>
      <c r="E63" s="30" t="str">
        <f aca="false">IFERROR(INDEX('Agent Roster'!$B:$B,MATCH(D63,'Agent Roster'!$A:$A,0)),"(group / any)")</f>
        <v>Risk Manager</v>
      </c>
      <c r="F63" s="30" t="s">
        <v>4763</v>
      </c>
      <c r="G63" s="30" t="s">
        <v>4701</v>
      </c>
    </row>
    <row r="64" customFormat="false" ht="22.35" hidden="false" customHeight="false" outlineLevel="0" collapsed="false">
      <c r="A64" s="19" t="s">
        <v>4764</v>
      </c>
      <c r="B64" s="19" t="s">
        <v>4765</v>
      </c>
      <c r="C64" s="19" t="n">
        <v>1</v>
      </c>
      <c r="D64" s="19" t="s">
        <v>149</v>
      </c>
      <c r="E64" s="19" t="str">
        <f aca="false">IFERROR(INDEX('Agent Roster'!$B:$B,MATCH(D64,'Agent Roster'!$A:$A,0)),"(group / any)")</f>
        <v>Intake &amp; Triage Agent (Layer 0 Base Code)</v>
      </c>
      <c r="F64" s="19" t="s">
        <v>4766</v>
      </c>
      <c r="G64" s="19" t="s">
        <v>174</v>
      </c>
    </row>
    <row r="65" customFormat="false" ht="22.35" hidden="false" customHeight="false" outlineLevel="0" collapsed="false">
      <c r="A65" s="19" t="s">
        <v>4764</v>
      </c>
      <c r="B65" s="19" t="s">
        <v>4765</v>
      </c>
      <c r="C65" s="19" t="n">
        <v>2</v>
      </c>
      <c r="D65" s="19" t="s">
        <v>174</v>
      </c>
      <c r="E65" s="19" t="str">
        <f aca="false">IFERROR(INDEX('Agent Roster'!$B:$B,MATCH(D65,'Agent Roster'!$A:$A,0)),"(group / any)")</f>
        <v>Shepherd's Way Cycle Controller (Layer VI)</v>
      </c>
      <c r="F65" s="19" t="s">
        <v>4767</v>
      </c>
      <c r="G65" s="19" t="s">
        <v>91</v>
      </c>
    </row>
    <row r="66" customFormat="false" ht="15" hidden="false" customHeight="false" outlineLevel="0" collapsed="false">
      <c r="A66" s="19" t="s">
        <v>4764</v>
      </c>
      <c r="B66" s="19" t="s">
        <v>4765</v>
      </c>
      <c r="C66" s="19" t="n">
        <v>3</v>
      </c>
      <c r="D66" s="19" t="s">
        <v>91</v>
      </c>
      <c r="E66" s="19" t="str">
        <f aca="false">IFERROR(INDEX('Agent Roster'!$B:$B,MATCH(D66,'Agent Roster'!$A:$A,0)),"(group / any)")</f>
        <v>Variable Registry Keeper</v>
      </c>
      <c r="F66" s="19" t="s">
        <v>4768</v>
      </c>
      <c r="G66" s="19" t="s">
        <v>174</v>
      </c>
    </row>
    <row r="67" customFormat="false" ht="22.35" hidden="false" customHeight="false" outlineLevel="0" collapsed="false">
      <c r="A67" s="19" t="s">
        <v>4764</v>
      </c>
      <c r="B67" s="19" t="s">
        <v>4765</v>
      </c>
      <c r="C67" s="19" t="n">
        <v>4</v>
      </c>
      <c r="D67" s="19" t="s">
        <v>174</v>
      </c>
      <c r="E67" s="19" t="str">
        <f aca="false">IFERROR(INDEX('Agent Roster'!$B:$B,MATCH(D67,'Agent Roster'!$A:$A,0)),"(group / any)")</f>
        <v>Shepherd's Way Cycle Controller (Layer VI)</v>
      </c>
      <c r="F67" s="19" t="s">
        <v>4769</v>
      </c>
      <c r="G67" s="19" t="s">
        <v>4701</v>
      </c>
    </row>
    <row r="68" customFormat="false" ht="22.35" hidden="false" customHeight="false" outlineLevel="0" collapsed="false">
      <c r="A68" s="30" t="s">
        <v>4770</v>
      </c>
      <c r="B68" s="30" t="s">
        <v>4771</v>
      </c>
      <c r="C68" s="30" t="n">
        <v>1</v>
      </c>
      <c r="D68" s="30" t="s">
        <v>149</v>
      </c>
      <c r="E68" s="30" t="str">
        <f aca="false">IFERROR(INDEX('Agent Roster'!$B:$B,MATCH(D68,'Agent Roster'!$A:$A,0)),"(group / any)")</f>
        <v>Intake &amp; Triage Agent (Layer 0 Base Code)</v>
      </c>
      <c r="F68" s="30" t="s">
        <v>4772</v>
      </c>
      <c r="G68" s="30" t="s">
        <v>153</v>
      </c>
    </row>
    <row r="69" customFormat="false" ht="15" hidden="false" customHeight="false" outlineLevel="0" collapsed="false">
      <c r="A69" s="30" t="s">
        <v>4770</v>
      </c>
      <c r="B69" s="30" t="s">
        <v>4771</v>
      </c>
      <c r="C69" s="30" t="n">
        <v>2</v>
      </c>
      <c r="D69" s="30" t="s">
        <v>153</v>
      </c>
      <c r="E69" s="30" t="str">
        <f aca="false">IFERROR(INDEX('Agent Roster'!$B:$B,MATCH(D69,'Agent Roster'!$A:$A,0)),"(group / any)")</f>
        <v>Algorithm Router (Master Meta-Algorithm)</v>
      </c>
      <c r="F69" s="30" t="s">
        <v>4773</v>
      </c>
      <c r="G69" s="30" t="s">
        <v>153</v>
      </c>
    </row>
    <row r="70" customFormat="false" ht="15" hidden="false" customHeight="false" outlineLevel="0" collapsed="false">
      <c r="A70" s="30" t="s">
        <v>4770</v>
      </c>
      <c r="B70" s="30" t="s">
        <v>4771</v>
      </c>
      <c r="C70" s="30" t="n">
        <v>3</v>
      </c>
      <c r="D70" s="30" t="s">
        <v>153</v>
      </c>
      <c r="E70" s="30" t="str">
        <f aca="false">IFERROR(INDEX('Agent Roster'!$B:$B,MATCH(D70,'Agent Roster'!$A:$A,0)),"(group / any)")</f>
        <v>Algorithm Router (Master Meta-Algorithm)</v>
      </c>
      <c r="F70" s="30" t="s">
        <v>4774</v>
      </c>
      <c r="G70" s="30" t="s">
        <v>65</v>
      </c>
    </row>
    <row r="71" customFormat="false" ht="22.35" hidden="false" customHeight="false" outlineLevel="0" collapsed="false">
      <c r="A71" s="30" t="s">
        <v>4770</v>
      </c>
      <c r="B71" s="30" t="s">
        <v>4771</v>
      </c>
      <c r="C71" s="30" t="n">
        <v>4</v>
      </c>
      <c r="D71" s="30" t="s">
        <v>65</v>
      </c>
      <c r="E71" s="30" t="str">
        <f aca="false">IFERROR(INDEX('Agent Roster'!$B:$B,MATCH(D71,'Agent Roster'!$A:$A,0)),"(group / any)")</f>
        <v>Container Agent (Forcing Test classifier · Layer ⊙)</v>
      </c>
      <c r="F71" s="30" t="s">
        <v>4775</v>
      </c>
      <c r="G71" s="30" t="s">
        <v>103</v>
      </c>
    </row>
    <row r="72" customFormat="false" ht="15" hidden="false" customHeight="false" outlineLevel="0" collapsed="false">
      <c r="A72" s="30" t="s">
        <v>4770</v>
      </c>
      <c r="B72" s="30" t="s">
        <v>4771</v>
      </c>
      <c r="C72" s="30" t="n">
        <v>5</v>
      </c>
      <c r="D72" s="30" t="s">
        <v>103</v>
      </c>
      <c r="E72" s="30" t="str">
        <f aca="false">IFERROR(INDEX('Agent Roster'!$B:$B,MATCH(D72,'Agent Roster'!$A:$A,0)),"(group / any)")</f>
        <v>Framework Compliance Auditor</v>
      </c>
      <c r="F72" s="30" t="s">
        <v>4776</v>
      </c>
      <c r="G72" s="30" t="s">
        <v>47</v>
      </c>
    </row>
    <row r="73" customFormat="false" ht="15" hidden="false" customHeight="false" outlineLevel="0" collapsed="false">
      <c r="A73" s="30" t="s">
        <v>4770</v>
      </c>
      <c r="B73" s="30" t="s">
        <v>4771</v>
      </c>
      <c r="C73" s="30" t="n">
        <v>6</v>
      </c>
      <c r="D73" s="30" t="s">
        <v>47</v>
      </c>
      <c r="E73" s="30" t="str">
        <f aca="false">IFERROR(INDEX('Agent Roster'!$B:$B,MATCH(D73,'Agent Roster'!$A:$A,0)),"(group / any)")</f>
        <v>Founder / Operator (HUMAN)</v>
      </c>
      <c r="F73" s="30" t="s">
        <v>4777</v>
      </c>
      <c r="G73" s="30" t="s">
        <v>1233</v>
      </c>
    </row>
    <row r="74" customFormat="false" ht="22.35" hidden="false" customHeight="false" outlineLevel="0" collapsed="false">
      <c r="A74" s="30" t="s">
        <v>4770</v>
      </c>
      <c r="B74" s="30" t="s">
        <v>4771</v>
      </c>
      <c r="C74" s="30" t="n">
        <v>7</v>
      </c>
      <c r="D74" s="30" t="s">
        <v>1233</v>
      </c>
      <c r="E74" s="30" t="str">
        <f aca="false">IFERROR(INDEX('Agent Roster'!$B:$B,MATCH(D74,'Agent Roster'!$A:$A,0)),"(group / any)")</f>
        <v>Methodology &amp; SOP Documentation Steward (Mode 3)</v>
      </c>
      <c r="F74" s="30" t="s">
        <v>4778</v>
      </c>
      <c r="G74" s="30" t="s">
        <v>4701</v>
      </c>
    </row>
    <row r="75" customFormat="false" ht="15" hidden="false" customHeight="false" outlineLevel="0" collapsed="false">
      <c r="A75" s="19" t="s">
        <v>4779</v>
      </c>
      <c r="B75" s="19" t="s">
        <v>4780</v>
      </c>
      <c r="C75" s="19" t="n">
        <v>1</v>
      </c>
      <c r="D75" s="19" t="s">
        <v>4781</v>
      </c>
      <c r="E75" s="19" t="str">
        <f aca="false">IFERROR(INDEX('Agent Roster'!$B:$B,MATCH(D75,'Agent Roster'!$A:$A,0)),"(group / any)")</f>
        <v>(group / any)</v>
      </c>
      <c r="F75" s="19" t="s">
        <v>4782</v>
      </c>
      <c r="G75" s="19" t="s">
        <v>251</v>
      </c>
    </row>
    <row r="76" customFormat="false" ht="22.35" hidden="false" customHeight="false" outlineLevel="0" collapsed="false">
      <c r="A76" s="19" t="s">
        <v>4779</v>
      </c>
      <c r="B76" s="19" t="s">
        <v>4780</v>
      </c>
      <c r="C76" s="19" t="n">
        <v>2</v>
      </c>
      <c r="D76" s="19" t="s">
        <v>251</v>
      </c>
      <c r="E76" s="19" t="str">
        <f aca="false">IFERROR(INDEX('Agent Roster'!$B:$B,MATCH(D76,'Agent Roster'!$A:$A,0)),"(group / any)")</f>
        <v>Capsule Integrator (Layer I.G post-mortems)</v>
      </c>
      <c r="F76" s="19" t="s">
        <v>4783</v>
      </c>
      <c r="G76" s="19" t="s">
        <v>1290</v>
      </c>
    </row>
    <row r="77" customFormat="false" ht="22.35" hidden="false" customHeight="false" outlineLevel="0" collapsed="false">
      <c r="A77" s="19" t="s">
        <v>4779</v>
      </c>
      <c r="B77" s="19" t="s">
        <v>4780</v>
      </c>
      <c r="C77" s="19" t="n">
        <v>3</v>
      </c>
      <c r="D77" s="19" t="s">
        <v>1290</v>
      </c>
      <c r="E77" s="19" t="str">
        <f aca="false">IFERROR(INDEX('Agent Roster'!$B:$B,MATCH(D77,'Agent Roster'!$A:$A,0)),"(group / any)")</f>
        <v>Knowledge Base Librarian (Memory &amp; Recall)</v>
      </c>
      <c r="F77" s="19" t="s">
        <v>4784</v>
      </c>
      <c r="G77" s="19" t="s">
        <v>292</v>
      </c>
    </row>
    <row r="78" customFormat="false" ht="22.35" hidden="false" customHeight="false" outlineLevel="0" collapsed="false">
      <c r="A78" s="19" t="s">
        <v>4779</v>
      </c>
      <c r="B78" s="19" t="s">
        <v>4780</v>
      </c>
      <c r="C78" s="19" t="n">
        <v>4</v>
      </c>
      <c r="D78" s="19" t="s">
        <v>292</v>
      </c>
      <c r="E78" s="19" t="str">
        <f aca="false">IFERROR(INDEX('Agent Roster'!$B:$B,MATCH(D78,'Agent Roster'!$A:$A,0)),"(group / any)")</f>
        <v>Knowledge Compounding Agent (Layer III+ Integration Density)</v>
      </c>
      <c r="F78" s="19" t="s">
        <v>4785</v>
      </c>
      <c r="G78" s="19" t="s">
        <v>357</v>
      </c>
    </row>
    <row r="79" customFormat="false" ht="22.35" hidden="false" customHeight="false" outlineLevel="0" collapsed="false">
      <c r="A79" s="19" t="s">
        <v>4779</v>
      </c>
      <c r="B79" s="19" t="s">
        <v>4780</v>
      </c>
      <c r="C79" s="19" t="n">
        <v>5</v>
      </c>
      <c r="D79" s="19" t="s">
        <v>357</v>
      </c>
      <c r="E79" s="19" t="str">
        <f aca="false">IFERROR(INDEX('Agent Roster'!$B:$B,MATCH(D79,'Agent Roster'!$A:$A,0)),"(group / any)")</f>
        <v>Pattern Recognition Agent</v>
      </c>
      <c r="F79" s="19" t="s">
        <v>4786</v>
      </c>
      <c r="G79" s="19" t="s">
        <v>4701</v>
      </c>
    </row>
    <row r="80" customFormat="false" ht="15" hidden="false" customHeight="false" outlineLevel="0" collapsed="false">
      <c r="A80" s="30" t="s">
        <v>4787</v>
      </c>
      <c r="B80" s="30" t="s">
        <v>4788</v>
      </c>
      <c r="C80" s="30" t="n">
        <v>1</v>
      </c>
      <c r="D80" s="30" t="s">
        <v>314</v>
      </c>
      <c r="E80" s="30" t="str">
        <f aca="false">IFERROR(INDEX('Agent Roster'!$B:$B,MATCH(D80,'Agent Roster'!$A:$A,0)),"(group / any)")</f>
        <v>Decision Support Agent</v>
      </c>
      <c r="F80" s="30" t="s">
        <v>4789</v>
      </c>
      <c r="G80" s="30" t="s">
        <v>79</v>
      </c>
    </row>
    <row r="81" customFormat="false" ht="15" hidden="false" customHeight="false" outlineLevel="0" collapsed="false">
      <c r="A81" s="30" t="s">
        <v>4787</v>
      </c>
      <c r="B81" s="30" t="s">
        <v>4788</v>
      </c>
      <c r="C81" s="30" t="n">
        <v>2</v>
      </c>
      <c r="D81" s="30" t="s">
        <v>79</v>
      </c>
      <c r="E81" s="30" t="str">
        <f aca="false">IFERROR(INDEX('Agent Roster'!$B:$B,MATCH(D81,'Agent Roster'!$A:$A,0)),"(group / any)")</f>
        <v>Falsifiability Agent (Layer ◇)</v>
      </c>
      <c r="F81" s="30" t="s">
        <v>4790</v>
      </c>
      <c r="G81" s="30" t="s">
        <v>47</v>
      </c>
    </row>
    <row r="82" customFormat="false" ht="15" hidden="false" customHeight="false" outlineLevel="0" collapsed="false">
      <c r="A82" s="30" t="s">
        <v>4787</v>
      </c>
      <c r="B82" s="30" t="s">
        <v>4788</v>
      </c>
      <c r="C82" s="30" t="n">
        <v>3</v>
      </c>
      <c r="D82" s="30" t="s">
        <v>47</v>
      </c>
      <c r="E82" s="30" t="str">
        <f aca="false">IFERROR(INDEX('Agent Roster'!$B:$B,MATCH(D82,'Agent Roster'!$A:$A,0)),"(group / any)")</f>
        <v>Founder / Operator (HUMAN)</v>
      </c>
      <c r="F82" s="30" t="s">
        <v>4791</v>
      </c>
      <c r="G82" s="30" t="s">
        <v>302</v>
      </c>
    </row>
    <row r="83" customFormat="false" ht="22.35" hidden="false" customHeight="false" outlineLevel="0" collapsed="false">
      <c r="A83" s="30" t="s">
        <v>4787</v>
      </c>
      <c r="B83" s="30" t="s">
        <v>4788</v>
      </c>
      <c r="C83" s="30" t="n">
        <v>4</v>
      </c>
      <c r="D83" s="30" t="s">
        <v>302</v>
      </c>
      <c r="E83" s="30" t="str">
        <f aca="false">IFERROR(INDEX('Agent Roster'!$B:$B,MATCH(D83,'Agent Roster'!$A:$A,0)),"(group / any)")</f>
        <v>Database &amp; Documentation Agent (Shepherd's Way Step 06)</v>
      </c>
      <c r="F83" s="30" t="s">
        <v>4792</v>
      </c>
      <c r="G83" s="30" t="s">
        <v>314</v>
      </c>
    </row>
    <row r="84" customFormat="false" ht="15" hidden="false" customHeight="false" outlineLevel="0" collapsed="false">
      <c r="A84" s="30" t="s">
        <v>4787</v>
      </c>
      <c r="B84" s="30" t="s">
        <v>4788</v>
      </c>
      <c r="C84" s="30" t="n">
        <v>5</v>
      </c>
      <c r="D84" s="30" t="s">
        <v>314</v>
      </c>
      <c r="E84" s="30" t="str">
        <f aca="false">IFERROR(INDEX('Agent Roster'!$B:$B,MATCH(D84,'Agent Roster'!$A:$A,0)),"(group / any)")</f>
        <v>Decision Support Agent</v>
      </c>
      <c r="F84" s="30" t="s">
        <v>4793</v>
      </c>
      <c r="G84" s="30" t="s">
        <v>251</v>
      </c>
    </row>
    <row r="85" customFormat="false" ht="22.35" hidden="false" customHeight="false" outlineLevel="0" collapsed="false">
      <c r="A85" s="30" t="s">
        <v>4787</v>
      </c>
      <c r="B85" s="30" t="s">
        <v>4788</v>
      </c>
      <c r="C85" s="30" t="n">
        <v>6</v>
      </c>
      <c r="D85" s="30" t="s">
        <v>251</v>
      </c>
      <c r="E85" s="30" t="str">
        <f aca="false">IFERROR(INDEX('Agent Roster'!$B:$B,MATCH(D85,'Agent Roster'!$A:$A,0)),"(group / any)")</f>
        <v>Capsule Integrator (Layer I.G post-mortems)</v>
      </c>
      <c r="F85" s="30" t="s">
        <v>4794</v>
      </c>
      <c r="G85" s="30" t="s">
        <v>4701</v>
      </c>
    </row>
    <row r="86" customFormat="false" ht="15" hidden="false" customHeight="false" outlineLevel="0" collapsed="false">
      <c r="A86" s="19" t="s">
        <v>4795</v>
      </c>
      <c r="B86" s="19" t="s">
        <v>4796</v>
      </c>
      <c r="C86" s="19" t="n">
        <v>1</v>
      </c>
      <c r="D86" s="19" t="s">
        <v>740</v>
      </c>
      <c r="E86" s="19" t="str">
        <f aca="false">IFERROR(INDEX('Agent Roster'!$B:$B,MATCH(D86,'Agent Roster'!$A:$A,0)),"(group / any)")</f>
        <v>Vendor Manager Agent</v>
      </c>
      <c r="F86" s="19" t="s">
        <v>4797</v>
      </c>
      <c r="G86" s="19" t="s">
        <v>452</v>
      </c>
    </row>
    <row r="87" customFormat="false" ht="15" hidden="false" customHeight="false" outlineLevel="0" collapsed="false">
      <c r="A87" s="19" t="s">
        <v>4795</v>
      </c>
      <c r="B87" s="19" t="s">
        <v>4796</v>
      </c>
      <c r="C87" s="19" t="n">
        <v>2</v>
      </c>
      <c r="D87" s="19" t="s">
        <v>452</v>
      </c>
      <c r="E87" s="19" t="str">
        <f aca="false">IFERROR(INDEX('Agent Roster'!$B:$B,MATCH(D87,'Agent Roster'!$A:$A,0)),"(group / any)")</f>
        <v>Risk Manager</v>
      </c>
      <c r="F87" s="19" t="s">
        <v>4798</v>
      </c>
      <c r="G87" s="19" t="s">
        <v>964</v>
      </c>
    </row>
    <row r="88" customFormat="false" ht="15" hidden="false" customHeight="false" outlineLevel="0" collapsed="false">
      <c r="A88" s="19" t="s">
        <v>4795</v>
      </c>
      <c r="B88" s="19" t="s">
        <v>4796</v>
      </c>
      <c r="C88" s="19" t="n">
        <v>3</v>
      </c>
      <c r="D88" s="19" t="s">
        <v>964</v>
      </c>
      <c r="E88" s="19" t="str">
        <f aca="false">IFERROR(INDEX('Agent Roster'!$B:$B,MATCH(D88,'Agent Roster'!$A:$A,0)),"(group / any)")</f>
        <v>Compliance &amp; Legal Strategy Agent</v>
      </c>
      <c r="F88" s="19" t="s">
        <v>4799</v>
      </c>
      <c r="G88" s="19" t="s">
        <v>47</v>
      </c>
    </row>
    <row r="89" customFormat="false" ht="15" hidden="false" customHeight="false" outlineLevel="0" collapsed="false">
      <c r="A89" s="19" t="s">
        <v>4795</v>
      </c>
      <c r="B89" s="19" t="s">
        <v>4796</v>
      </c>
      <c r="C89" s="19" t="n">
        <v>4</v>
      </c>
      <c r="D89" s="19" t="s">
        <v>47</v>
      </c>
      <c r="E89" s="19" t="str">
        <f aca="false">IFERROR(INDEX('Agent Roster'!$B:$B,MATCH(D89,'Agent Roster'!$A:$A,0)),"(group / any)")</f>
        <v>Founder / Operator (HUMAN)</v>
      </c>
      <c r="F89" s="19" t="s">
        <v>4800</v>
      </c>
      <c r="G89" s="19" t="s">
        <v>740</v>
      </c>
    </row>
    <row r="90" customFormat="false" ht="22.35" hidden="false" customHeight="false" outlineLevel="0" collapsed="false">
      <c r="A90" s="19" t="s">
        <v>4795</v>
      </c>
      <c r="B90" s="19" t="s">
        <v>4796</v>
      </c>
      <c r="C90" s="19" t="n">
        <v>5</v>
      </c>
      <c r="D90" s="19" t="s">
        <v>740</v>
      </c>
      <c r="E90" s="19" t="str">
        <f aca="false">IFERROR(INDEX('Agent Roster'!$B:$B,MATCH(D90,'Agent Roster'!$A:$A,0)),"(group / any)")</f>
        <v>Vendor Manager Agent</v>
      </c>
      <c r="F90" s="19" t="s">
        <v>4801</v>
      </c>
      <c r="G90" s="19" t="s">
        <v>4701</v>
      </c>
    </row>
    <row r="91" customFormat="false" ht="22.35" hidden="false" customHeight="false" outlineLevel="0" collapsed="false">
      <c r="A91" s="30" t="s">
        <v>4802</v>
      </c>
      <c r="B91" s="30" t="s">
        <v>4803</v>
      </c>
      <c r="C91" s="30" t="n">
        <v>1</v>
      </c>
      <c r="D91" s="30" t="s">
        <v>1222</v>
      </c>
      <c r="E91" s="30" t="str">
        <f aca="false">IFERROR(INDEX('Agent Roster'!$B:$B,MATCH(D91,'Agent Roster'!$A:$A,0)),"(group / any)")</f>
        <v>Media Production Agent (Mode 2 Demonstration)</v>
      </c>
      <c r="F91" s="30" t="s">
        <v>4804</v>
      </c>
      <c r="G91" s="30" t="s">
        <v>1233</v>
      </c>
    </row>
    <row r="92" customFormat="false" ht="22.35" hidden="false" customHeight="false" outlineLevel="0" collapsed="false">
      <c r="A92" s="30" t="s">
        <v>4802</v>
      </c>
      <c r="B92" s="30" t="s">
        <v>4803</v>
      </c>
      <c r="C92" s="30" t="n">
        <v>2</v>
      </c>
      <c r="D92" s="30" t="s">
        <v>1233</v>
      </c>
      <c r="E92" s="30" t="str">
        <f aca="false">IFERROR(INDEX('Agent Roster'!$B:$B,MATCH(D92,'Agent Roster'!$A:$A,0)),"(group / any)")</f>
        <v>Methodology &amp; SOP Documentation Steward (Mode 3)</v>
      </c>
      <c r="F92" s="30" t="s">
        <v>4805</v>
      </c>
      <c r="G92" s="30" t="s">
        <v>997</v>
      </c>
    </row>
    <row r="93" customFormat="false" ht="15" hidden="false" customHeight="false" outlineLevel="0" collapsed="false">
      <c r="A93" s="30" t="s">
        <v>4802</v>
      </c>
      <c r="B93" s="30" t="s">
        <v>4803</v>
      </c>
      <c r="C93" s="30" t="n">
        <v>3</v>
      </c>
      <c r="D93" s="30" t="s">
        <v>997</v>
      </c>
      <c r="E93" s="30" t="str">
        <f aca="false">IFERROR(INDEX('Agent Roster'!$B:$B,MATCH(D93,'Agent Roster'!$A:$A,0)),"(group / any)")</f>
        <v>Automation Engineer (n8n)</v>
      </c>
      <c r="F93" s="30" t="s">
        <v>4806</v>
      </c>
      <c r="G93" s="30" t="s">
        <v>1256</v>
      </c>
    </row>
    <row r="94" customFormat="false" ht="15" hidden="false" customHeight="false" outlineLevel="0" collapsed="false">
      <c r="A94" s="30" t="s">
        <v>4802</v>
      </c>
      <c r="B94" s="30" t="s">
        <v>4803</v>
      </c>
      <c r="C94" s="30" t="n">
        <v>4</v>
      </c>
      <c r="D94" s="30" t="s">
        <v>1256</v>
      </c>
      <c r="E94" s="30" t="str">
        <f aca="false">IFERROR(INDEX('Agent Roster'!$B:$B,MATCH(D94,'Agent Roster'!$A:$A,0)),"(group / any)")</f>
        <v>GFunnel University Curriculum Agent</v>
      </c>
      <c r="F94" s="30" t="s">
        <v>4807</v>
      </c>
      <c r="G94" s="30" t="s">
        <v>906</v>
      </c>
    </row>
    <row r="95" customFormat="false" ht="15" hidden="false" customHeight="false" outlineLevel="0" collapsed="false">
      <c r="A95" s="30" t="s">
        <v>4802</v>
      </c>
      <c r="B95" s="30" t="s">
        <v>4803</v>
      </c>
      <c r="C95" s="30" t="n">
        <v>5</v>
      </c>
      <c r="D95" s="30" t="s">
        <v>906</v>
      </c>
      <c r="E95" s="30" t="str">
        <f aca="false">IFERROR(INDEX('Agent Roster'!$B:$B,MATCH(D95,'Agent Roster'!$A:$A,0)),"(group / any)")</f>
        <v>Culture &amp; Ritual Steward (Mode 5)</v>
      </c>
      <c r="F95" s="30" t="s">
        <v>4808</v>
      </c>
      <c r="G95" s="30" t="s">
        <v>534</v>
      </c>
    </row>
    <row r="96" customFormat="false" ht="22.35" hidden="false" customHeight="false" outlineLevel="0" collapsed="false">
      <c r="A96" s="30" t="s">
        <v>4802</v>
      </c>
      <c r="B96" s="30" t="s">
        <v>4803</v>
      </c>
      <c r="C96" s="30" t="n">
        <v>6</v>
      </c>
      <c r="D96" s="30" t="s">
        <v>534</v>
      </c>
      <c r="E96" s="30" t="str">
        <f aca="false">IFERROR(INDEX('Agent Roster'!$B:$B,MATCH(D96,'Agent Roster'!$A:$A,0)),"(group / any)")</f>
        <v>Content Distribution Agent</v>
      </c>
      <c r="F96" s="30" t="s">
        <v>4809</v>
      </c>
      <c r="G96" s="30" t="s">
        <v>4701</v>
      </c>
    </row>
    <row r="97" customFormat="false" ht="15" hidden="false" customHeight="false" outlineLevel="0" collapsed="false">
      <c r="A97" s="19" t="s">
        <v>4810</v>
      </c>
      <c r="B97" s="19" t="s">
        <v>4811</v>
      </c>
      <c r="C97" s="19" t="n">
        <v>1</v>
      </c>
      <c r="D97" s="19" t="s">
        <v>403</v>
      </c>
      <c r="E97" s="19" t="str">
        <f aca="false">IFERROR(INDEX('Agent Roster'!$B:$B,MATCH(D97,'Agent Roster'!$A:$A,0)),"(group / any)")</f>
        <v>Vision, Mission &amp; Purpose Steward</v>
      </c>
      <c r="F97" s="19" t="s">
        <v>4812</v>
      </c>
      <c r="G97" s="19" t="s">
        <v>440</v>
      </c>
    </row>
    <row r="98" customFormat="false" ht="15" hidden="false" customHeight="false" outlineLevel="0" collapsed="false">
      <c r="A98" s="19" t="s">
        <v>4810</v>
      </c>
      <c r="B98" s="19" t="s">
        <v>4811</v>
      </c>
      <c r="C98" s="19" t="n">
        <v>2</v>
      </c>
      <c r="D98" s="19" t="s">
        <v>440</v>
      </c>
      <c r="E98" s="19" t="str">
        <f aca="false">IFERROR(INDEX('Agent Roster'!$B:$B,MATCH(D98,'Agent Roster'!$A:$A,0)),"(group / any)")</f>
        <v>Competitive Positioning &amp; Market Analyst</v>
      </c>
      <c r="F98" s="19" t="s">
        <v>4813</v>
      </c>
      <c r="G98" s="19" t="s">
        <v>428</v>
      </c>
    </row>
    <row r="99" customFormat="false" ht="22.35" hidden="false" customHeight="false" outlineLevel="0" collapsed="false">
      <c r="A99" s="19" t="s">
        <v>4810</v>
      </c>
      <c r="B99" s="19" t="s">
        <v>4811</v>
      </c>
      <c r="C99" s="19" t="n">
        <v>3</v>
      </c>
      <c r="D99" s="19" t="s">
        <v>428</v>
      </c>
      <c r="E99" s="19" t="str">
        <f aca="false">IFERROR(INDEX('Agent Roster'!$B:$B,MATCH(D99,'Agent Roster'!$A:$A,0)),"(group / any)")</f>
        <v>Quarterly Direction &amp; Strategic Planning Agent</v>
      </c>
      <c r="F99" s="19" t="s">
        <v>4814</v>
      </c>
      <c r="G99" s="19" t="s">
        <v>785</v>
      </c>
    </row>
    <row r="100" customFormat="false" ht="15" hidden="false" customHeight="false" outlineLevel="0" collapsed="false">
      <c r="A100" s="19" t="s">
        <v>4810</v>
      </c>
      <c r="B100" s="19" t="s">
        <v>4811</v>
      </c>
      <c r="C100" s="19" t="n">
        <v>4</v>
      </c>
      <c r="D100" s="19" t="s">
        <v>785</v>
      </c>
      <c r="E100" s="19" t="str">
        <f aca="false">IFERROR(INDEX('Agent Roster'!$B:$B,MATCH(D100,'Agent Roster'!$A:$A,0)),"(group / any)")</f>
        <v>Budgeting Agent</v>
      </c>
      <c r="F100" s="19" t="s">
        <v>4815</v>
      </c>
      <c r="G100" s="19" t="s">
        <v>964</v>
      </c>
    </row>
    <row r="101" customFormat="false" ht="15" hidden="false" customHeight="false" outlineLevel="0" collapsed="false">
      <c r="A101" s="19" t="s">
        <v>4810</v>
      </c>
      <c r="B101" s="19" t="s">
        <v>4811</v>
      </c>
      <c r="C101" s="19" t="n">
        <v>5</v>
      </c>
      <c r="D101" s="19" t="s">
        <v>964</v>
      </c>
      <c r="E101" s="19" t="str">
        <f aca="false">IFERROR(INDEX('Agent Roster'!$B:$B,MATCH(D101,'Agent Roster'!$A:$A,0)),"(group / any)")</f>
        <v>Compliance &amp; Legal Strategy Agent</v>
      </c>
      <c r="F101" s="19" t="s">
        <v>4816</v>
      </c>
      <c r="G101" s="19" t="s">
        <v>114</v>
      </c>
    </row>
    <row r="102" customFormat="false" ht="15" hidden="false" customHeight="false" outlineLevel="0" collapsed="false">
      <c r="A102" s="19" t="s">
        <v>4810</v>
      </c>
      <c r="B102" s="19" t="s">
        <v>4811</v>
      </c>
      <c r="C102" s="19" t="n">
        <v>6</v>
      </c>
      <c r="D102" s="19" t="s">
        <v>114</v>
      </c>
      <c r="E102" s="19" t="str">
        <f aca="false">IFERROR(INDEX('Agent Roster'!$B:$B,MATCH(D102,'Agent Roster'!$A:$A,0)),"(group / any)")</f>
        <v>AI Alignment Agent (agent-fleet oversight)</v>
      </c>
      <c r="F102" s="19" t="s">
        <v>4817</v>
      </c>
      <c r="G102" s="19" t="s">
        <v>47</v>
      </c>
    </row>
    <row r="103" customFormat="false" ht="22.35" hidden="false" customHeight="false" outlineLevel="0" collapsed="false">
      <c r="A103" s="19" t="s">
        <v>4810</v>
      </c>
      <c r="B103" s="19" t="s">
        <v>4811</v>
      </c>
      <c r="C103" s="19" t="n">
        <v>7</v>
      </c>
      <c r="D103" s="19" t="s">
        <v>47</v>
      </c>
      <c r="E103" s="19" t="str">
        <f aca="false">IFERROR(INDEX('Agent Roster'!$B:$B,MATCH(D103,'Agent Roster'!$A:$A,0)),"(group / any)")</f>
        <v>Founder / Operator (HUMAN)</v>
      </c>
      <c r="F103" s="19" t="s">
        <v>4818</v>
      </c>
      <c r="G103" s="19" t="s">
        <v>4701</v>
      </c>
    </row>
    <row r="104" customFormat="false" ht="15" hidden="false" customHeight="false" outlineLevel="0" collapsed="false">
      <c r="A104" s="30" t="s">
        <v>4819</v>
      </c>
      <c r="B104" s="30" t="s">
        <v>4820</v>
      </c>
      <c r="C104" s="30" t="n">
        <v>1</v>
      </c>
      <c r="D104" s="30" t="s">
        <v>917</v>
      </c>
      <c r="E104" s="30" t="str">
        <f aca="false">IFERROR(INDEX('Agent Roster'!$B:$B,MATCH(D104,'Agent Roster'!$A:$A,0)),"(group / any)")</f>
        <v>Org Design Agent</v>
      </c>
      <c r="F104" s="30" t="s">
        <v>4821</v>
      </c>
      <c r="G104" s="30" t="s">
        <v>126</v>
      </c>
    </row>
    <row r="105" customFormat="false" ht="22.35" hidden="false" customHeight="false" outlineLevel="0" collapsed="false">
      <c r="A105" s="30" t="s">
        <v>4819</v>
      </c>
      <c r="B105" s="30" t="s">
        <v>4820</v>
      </c>
      <c r="C105" s="30" t="n">
        <v>2</v>
      </c>
      <c r="D105" s="30" t="s">
        <v>126</v>
      </c>
      <c r="E105" s="30" t="str">
        <f aca="false">IFERROR(INDEX('Agent Roster'!$B:$B,MATCH(D105,'Agent Roster'!$A:$A,0)),"(group / any)")</f>
        <v>Governance Designer (decision rights &amp; escalation)</v>
      </c>
      <c r="F105" s="30" t="s">
        <v>4822</v>
      </c>
      <c r="G105" s="30" t="s">
        <v>114</v>
      </c>
    </row>
    <row r="106" customFormat="false" ht="15" hidden="false" customHeight="false" outlineLevel="0" collapsed="false">
      <c r="A106" s="30" t="s">
        <v>4819</v>
      </c>
      <c r="B106" s="30" t="s">
        <v>4820</v>
      </c>
      <c r="C106" s="30" t="n">
        <v>3</v>
      </c>
      <c r="D106" s="30" t="s">
        <v>114</v>
      </c>
      <c r="E106" s="30" t="str">
        <f aca="false">IFERROR(INDEX('Agent Roster'!$B:$B,MATCH(D106,'Agent Roster'!$A:$A,0)),"(group / any)")</f>
        <v>AI Alignment Agent (agent-fleet oversight)</v>
      </c>
      <c r="F106" s="30" t="s">
        <v>4823</v>
      </c>
      <c r="G106" s="30" t="s">
        <v>47</v>
      </c>
    </row>
    <row r="107" customFormat="false" ht="15" hidden="false" customHeight="false" outlineLevel="0" collapsed="false">
      <c r="A107" s="30" t="s">
        <v>4819</v>
      </c>
      <c r="B107" s="30" t="s">
        <v>4820</v>
      </c>
      <c r="C107" s="30" t="n">
        <v>4</v>
      </c>
      <c r="D107" s="30" t="s">
        <v>47</v>
      </c>
      <c r="E107" s="30" t="str">
        <f aca="false">IFERROR(INDEX('Agent Roster'!$B:$B,MATCH(D107,'Agent Roster'!$A:$A,0)),"(group / any)")</f>
        <v>Founder / Operator (HUMAN)</v>
      </c>
      <c r="F107" s="30" t="s">
        <v>4824</v>
      </c>
      <c r="G107" s="30" t="s">
        <v>1030</v>
      </c>
    </row>
    <row r="108" customFormat="false" ht="15" hidden="false" customHeight="false" outlineLevel="0" collapsed="false">
      <c r="A108" s="30" t="s">
        <v>4819</v>
      </c>
      <c r="B108" s="30" t="s">
        <v>4820</v>
      </c>
      <c r="C108" s="30" t="n">
        <v>5</v>
      </c>
      <c r="D108" s="30" t="s">
        <v>1030</v>
      </c>
      <c r="E108" s="30" t="str">
        <f aca="false">IFERROR(INDEX('Agent Roster'!$B:$B,MATCH(D108,'Agent Roster'!$A:$A,0)),"(group / any)")</f>
        <v>AI Workflow Agent</v>
      </c>
      <c r="F108" s="30" t="s">
        <v>4825</v>
      </c>
      <c r="G108" s="30" t="s">
        <v>103</v>
      </c>
    </row>
    <row r="109" customFormat="false" ht="22.35" hidden="false" customHeight="false" outlineLevel="0" collapsed="false">
      <c r="A109" s="30" t="s">
        <v>4819</v>
      </c>
      <c r="B109" s="30" t="s">
        <v>4820</v>
      </c>
      <c r="C109" s="30" t="n">
        <v>6</v>
      </c>
      <c r="D109" s="30" t="s">
        <v>103</v>
      </c>
      <c r="E109" s="30" t="str">
        <f aca="false">IFERROR(INDEX('Agent Roster'!$B:$B,MATCH(D109,'Agent Roster'!$A:$A,0)),"(group / any)")</f>
        <v>Framework Compliance Auditor</v>
      </c>
      <c r="F109" s="30" t="s">
        <v>4826</v>
      </c>
      <c r="G109" s="30" t="s">
        <v>4701</v>
      </c>
    </row>
  </sheetData>
  <autoFilter ref="A1:G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22"/>
    <col collapsed="false" customWidth="true" hidden="false" outlineLevel="0" max="4" min="4" style="0" width="48"/>
    <col collapsed="false" customWidth="true" hidden="false" outlineLevel="0" max="5" min="5" style="0" width="22"/>
    <col collapsed="false" customWidth="true" hidden="false" outlineLevel="0" max="6" min="6" style="0" width="12"/>
  </cols>
  <sheetData>
    <row r="1" customFormat="false" ht="15" hidden="false" customHeight="false" outlineLevel="0" collapsed="false">
      <c r="A1" s="6" t="s">
        <v>4827</v>
      </c>
      <c r="B1" s="6" t="s">
        <v>4828</v>
      </c>
      <c r="C1" s="6" t="s">
        <v>4829</v>
      </c>
      <c r="D1" s="6" t="s">
        <v>4830</v>
      </c>
      <c r="E1" s="6" t="s">
        <v>1307</v>
      </c>
      <c r="F1" s="6" t="s">
        <v>4831</v>
      </c>
    </row>
    <row r="2" customFormat="false" ht="15" hidden="false" customHeight="false" outlineLevel="0" collapsed="false">
      <c r="A2" s="19" t="s">
        <v>4832</v>
      </c>
      <c r="B2" s="19" t="s">
        <v>4833</v>
      </c>
      <c r="C2" s="19" t="s">
        <v>314</v>
      </c>
      <c r="D2" s="19" t="s">
        <v>4834</v>
      </c>
      <c r="E2" s="19" t="s">
        <v>4835</v>
      </c>
      <c r="F2" s="19" t="s">
        <v>47</v>
      </c>
    </row>
    <row r="3" customFormat="false" ht="15" hidden="false" customHeight="false" outlineLevel="0" collapsed="false">
      <c r="A3" s="19" t="s">
        <v>4836</v>
      </c>
      <c r="B3" s="19" t="s">
        <v>4837</v>
      </c>
      <c r="C3" s="19" t="s">
        <v>4838</v>
      </c>
      <c r="D3" s="19" t="s">
        <v>4839</v>
      </c>
      <c r="E3" s="19" t="s">
        <v>4840</v>
      </c>
      <c r="F3" s="19" t="s">
        <v>47</v>
      </c>
    </row>
    <row r="4" customFormat="false" ht="15" hidden="false" customHeight="false" outlineLevel="0" collapsed="false">
      <c r="A4" s="19" t="s">
        <v>4841</v>
      </c>
      <c r="B4" s="19" t="s">
        <v>4842</v>
      </c>
      <c r="C4" s="19" t="s">
        <v>91</v>
      </c>
      <c r="D4" s="19" t="s">
        <v>4843</v>
      </c>
      <c r="E4" s="19" t="s">
        <v>4844</v>
      </c>
      <c r="F4" s="19" t="s">
        <v>47</v>
      </c>
    </row>
    <row r="5" customFormat="false" ht="15" hidden="false" customHeight="false" outlineLevel="0" collapsed="false">
      <c r="A5" s="19" t="s">
        <v>4845</v>
      </c>
      <c r="B5" s="19" t="s">
        <v>4846</v>
      </c>
      <c r="C5" s="19" t="s">
        <v>65</v>
      </c>
      <c r="D5" s="19" t="s">
        <v>4847</v>
      </c>
      <c r="E5" s="19" t="s">
        <v>4848</v>
      </c>
      <c r="F5" s="19" t="s">
        <v>47</v>
      </c>
    </row>
    <row r="6" customFormat="false" ht="15" hidden="false" customHeight="false" outlineLevel="0" collapsed="false">
      <c r="A6" s="19" t="s">
        <v>4849</v>
      </c>
      <c r="B6" s="19" t="s">
        <v>4850</v>
      </c>
      <c r="C6" s="19" t="s">
        <v>174</v>
      </c>
      <c r="D6" s="19" t="s">
        <v>4851</v>
      </c>
      <c r="E6" s="19" t="s">
        <v>3701</v>
      </c>
      <c r="F6" s="19" t="s">
        <v>47</v>
      </c>
    </row>
    <row r="7" customFormat="false" ht="15" hidden="false" customHeight="false" outlineLevel="0" collapsed="false">
      <c r="A7" s="19" t="s">
        <v>4852</v>
      </c>
      <c r="B7" s="19" t="s">
        <v>4853</v>
      </c>
      <c r="C7" s="19" t="s">
        <v>603</v>
      </c>
      <c r="D7" s="19" t="s">
        <v>4854</v>
      </c>
      <c r="E7" s="19" t="s">
        <v>4855</v>
      </c>
      <c r="F7" s="19" t="s">
        <v>47</v>
      </c>
    </row>
    <row r="8" customFormat="false" ht="15" hidden="false" customHeight="false" outlineLevel="0" collapsed="false">
      <c r="A8" s="19" t="s">
        <v>4856</v>
      </c>
      <c r="B8" s="19" t="s">
        <v>4857</v>
      </c>
      <c r="C8" s="19" t="s">
        <v>4858</v>
      </c>
      <c r="D8" s="19" t="s">
        <v>4859</v>
      </c>
      <c r="E8" s="19" t="s">
        <v>4860</v>
      </c>
      <c r="F8" s="19" t="s">
        <v>47</v>
      </c>
    </row>
    <row r="9" customFormat="false" ht="15" hidden="false" customHeight="false" outlineLevel="0" collapsed="false">
      <c r="A9" s="19" t="s">
        <v>4861</v>
      </c>
      <c r="B9" s="19" t="s">
        <v>4862</v>
      </c>
      <c r="C9" s="19" t="s">
        <v>4863</v>
      </c>
      <c r="D9" s="19" t="s">
        <v>4864</v>
      </c>
      <c r="E9" s="19" t="s">
        <v>4865</v>
      </c>
      <c r="F9" s="19" t="s">
        <v>47</v>
      </c>
    </row>
    <row r="10" customFormat="false" ht="15" hidden="false" customHeight="false" outlineLevel="0" collapsed="false">
      <c r="A10" s="19" t="s">
        <v>4866</v>
      </c>
      <c r="B10" s="19" t="s">
        <v>4867</v>
      </c>
      <c r="C10" s="19" t="s">
        <v>4868</v>
      </c>
      <c r="D10" s="19" t="s">
        <v>4869</v>
      </c>
      <c r="E10" s="19" t="s">
        <v>4865</v>
      </c>
      <c r="F10" s="19" t="s">
        <v>47</v>
      </c>
    </row>
    <row r="11" customFormat="false" ht="15" hidden="false" customHeight="false" outlineLevel="0" collapsed="false">
      <c r="A11" s="19" t="s">
        <v>4870</v>
      </c>
      <c r="B11" s="19" t="s">
        <v>4871</v>
      </c>
      <c r="C11" s="19" t="s">
        <v>4872</v>
      </c>
      <c r="D11" s="19" t="s">
        <v>4873</v>
      </c>
      <c r="E11" s="19" t="s">
        <v>4865</v>
      </c>
      <c r="F11" s="19" t="s">
        <v>47</v>
      </c>
    </row>
    <row r="12" customFormat="false" ht="15" hidden="false" customHeight="false" outlineLevel="0" collapsed="false">
      <c r="A12" s="19" t="s">
        <v>4874</v>
      </c>
      <c r="B12" s="19" t="s">
        <v>4875</v>
      </c>
      <c r="C12" s="19" t="s">
        <v>4876</v>
      </c>
      <c r="D12" s="19" t="s">
        <v>4877</v>
      </c>
      <c r="E12" s="19" t="s">
        <v>4865</v>
      </c>
      <c r="F12" s="19" t="s">
        <v>47</v>
      </c>
    </row>
    <row r="13" customFormat="false" ht="15" hidden="false" customHeight="false" outlineLevel="0" collapsed="false">
      <c r="A13" s="19" t="s">
        <v>4878</v>
      </c>
      <c r="B13" s="19" t="s">
        <v>4879</v>
      </c>
      <c r="C13" s="19" t="s">
        <v>346</v>
      </c>
      <c r="D13" s="19" t="s">
        <v>4880</v>
      </c>
      <c r="E13" s="19" t="s">
        <v>356</v>
      </c>
      <c r="F13" s="19" t="s">
        <v>47</v>
      </c>
    </row>
    <row r="14" customFormat="false" ht="15" hidden="false" customHeight="false" outlineLevel="0" collapsed="false">
      <c r="A14" s="19" t="s">
        <v>4881</v>
      </c>
      <c r="B14" s="19" t="s">
        <v>4882</v>
      </c>
      <c r="C14" s="19" t="s">
        <v>1097</v>
      </c>
      <c r="D14" s="19" t="s">
        <v>4883</v>
      </c>
      <c r="E14" s="19" t="s">
        <v>3769</v>
      </c>
      <c r="F14" s="19" t="s">
        <v>47</v>
      </c>
    </row>
    <row r="15" customFormat="false" ht="15" hidden="false" customHeight="false" outlineLevel="0" collapsed="false">
      <c r="A15" s="19" t="s">
        <v>4884</v>
      </c>
      <c r="B15" s="19" t="s">
        <v>4885</v>
      </c>
      <c r="C15" s="19" t="s">
        <v>4886</v>
      </c>
      <c r="D15" s="19" t="s">
        <v>4887</v>
      </c>
      <c r="E15" s="19" t="s">
        <v>125</v>
      </c>
      <c r="F15" s="19" t="s">
        <v>47</v>
      </c>
    </row>
    <row r="16" customFormat="false" ht="15" hidden="false" customHeight="false" outlineLevel="0" collapsed="false">
      <c r="A16" s="19" t="s">
        <v>4888</v>
      </c>
      <c r="B16" s="19" t="s">
        <v>4889</v>
      </c>
      <c r="C16" s="19" t="s">
        <v>964</v>
      </c>
      <c r="D16" s="19" t="s">
        <v>4890</v>
      </c>
      <c r="E16" s="19" t="s">
        <v>975</v>
      </c>
      <c r="F16" s="19" t="s">
        <v>47</v>
      </c>
    </row>
    <row r="17" customFormat="false" ht="15" hidden="false" customHeight="false" outlineLevel="0" collapsed="false">
      <c r="A17" s="19" t="s">
        <v>4891</v>
      </c>
      <c r="B17" s="19" t="s">
        <v>4892</v>
      </c>
      <c r="C17" s="19" t="s">
        <v>187</v>
      </c>
      <c r="D17" s="19" t="s">
        <v>4893</v>
      </c>
      <c r="E17" s="19" t="s">
        <v>4894</v>
      </c>
      <c r="F17" s="19" t="s">
        <v>47</v>
      </c>
    </row>
    <row r="18" customFormat="false" ht="15" hidden="false" customHeight="false" outlineLevel="0" collapsed="false">
      <c r="A18" s="19" t="s">
        <v>4895</v>
      </c>
      <c r="B18" s="19" t="s">
        <v>4896</v>
      </c>
      <c r="C18" s="19" t="s">
        <v>261</v>
      </c>
      <c r="D18" s="19" t="s">
        <v>4897</v>
      </c>
      <c r="E18" s="19" t="s">
        <v>4540</v>
      </c>
      <c r="F18" s="19" t="s">
        <v>47</v>
      </c>
    </row>
    <row r="19" customFormat="false" ht="15" hidden="false" customHeight="false" outlineLevel="0" collapsed="false">
      <c r="A19" s="19" t="s">
        <v>4898</v>
      </c>
      <c r="B19" s="19" t="s">
        <v>4899</v>
      </c>
      <c r="C19" s="19" t="s">
        <v>153</v>
      </c>
      <c r="D19" s="19" t="s">
        <v>4900</v>
      </c>
      <c r="E19" s="19" t="s">
        <v>4901</v>
      </c>
      <c r="F19" s="19" t="s">
        <v>47</v>
      </c>
    </row>
    <row r="20" customFormat="false" ht="15" hidden="false" customHeight="false" outlineLevel="0" collapsed="false">
      <c r="A20" s="19" t="s">
        <v>4902</v>
      </c>
      <c r="B20" s="19" t="s">
        <v>4903</v>
      </c>
      <c r="C20" s="19" t="s">
        <v>4904</v>
      </c>
      <c r="D20" s="19" t="s">
        <v>4905</v>
      </c>
      <c r="E20" s="19" t="s">
        <v>4906</v>
      </c>
      <c r="F20" s="19" t="s">
        <v>47</v>
      </c>
    </row>
    <row r="21" customFormat="false" ht="15" hidden="false" customHeight="false" outlineLevel="0" collapsed="false">
      <c r="A21" s="19" t="s">
        <v>4907</v>
      </c>
      <c r="B21" s="19" t="s">
        <v>4908</v>
      </c>
      <c r="C21" s="19" t="s">
        <v>4909</v>
      </c>
      <c r="D21" s="19" t="s">
        <v>4910</v>
      </c>
      <c r="E21" s="19" t="s">
        <v>4865</v>
      </c>
      <c r="F21" s="19" t="s">
        <v>47</v>
      </c>
    </row>
    <row r="22" customFormat="false" ht="15" hidden="false" customHeight="false" outlineLevel="0" collapsed="false">
      <c r="A22" s="19" t="s">
        <v>4911</v>
      </c>
      <c r="B22" s="19" t="s">
        <v>4912</v>
      </c>
      <c r="C22" s="19" t="s">
        <v>47</v>
      </c>
      <c r="D22" s="19" t="s">
        <v>4913</v>
      </c>
      <c r="E22" s="19" t="s">
        <v>4914</v>
      </c>
      <c r="F22" s="19" t="s">
        <v>47</v>
      </c>
    </row>
  </sheetData>
  <autoFilter ref="A1:F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4" min="3" style="0" width="50"/>
    <col collapsed="false" customWidth="true" hidden="false" outlineLevel="0" max="5" min="5" style="0" width="22"/>
  </cols>
  <sheetData>
    <row r="1" customFormat="false" ht="15" hidden="false" customHeight="false" outlineLevel="0" collapsed="false">
      <c r="A1" s="6" t="s">
        <v>4915</v>
      </c>
      <c r="B1" s="6" t="s">
        <v>4916</v>
      </c>
      <c r="C1" s="6" t="s">
        <v>4917</v>
      </c>
      <c r="D1" s="6" t="s">
        <v>4918</v>
      </c>
      <c r="E1" s="6" t="s">
        <v>3</v>
      </c>
    </row>
    <row r="2" customFormat="false" ht="22.35" hidden="false" customHeight="false" outlineLevel="0" collapsed="false">
      <c r="A2" s="19" t="s">
        <v>4919</v>
      </c>
      <c r="B2" s="19" t="s">
        <v>4920</v>
      </c>
      <c r="C2" s="19" t="s">
        <v>4921</v>
      </c>
      <c r="D2" s="19" t="s">
        <v>4922</v>
      </c>
      <c r="E2" s="19" t="s">
        <v>4923</v>
      </c>
    </row>
    <row r="3" customFormat="false" ht="22.35" hidden="false" customHeight="false" outlineLevel="0" collapsed="false">
      <c r="A3" s="19" t="s">
        <v>4924</v>
      </c>
      <c r="B3" s="19" t="s">
        <v>4925</v>
      </c>
      <c r="C3" s="19" t="s">
        <v>4926</v>
      </c>
      <c r="D3" s="19" t="s">
        <v>4927</v>
      </c>
      <c r="E3" s="19" t="s">
        <v>4928</v>
      </c>
    </row>
    <row r="4" customFormat="false" ht="15" hidden="false" customHeight="false" outlineLevel="0" collapsed="false">
      <c r="A4" s="19" t="s">
        <v>4929</v>
      </c>
      <c r="B4" s="19" t="s">
        <v>4930</v>
      </c>
      <c r="C4" s="19" t="s">
        <v>4931</v>
      </c>
      <c r="D4" s="19" t="s">
        <v>4932</v>
      </c>
      <c r="E4" s="19" t="s">
        <v>4923</v>
      </c>
    </row>
    <row r="5" customFormat="false" ht="15" hidden="false" customHeight="false" outlineLevel="0" collapsed="false">
      <c r="A5" s="19" t="s">
        <v>4933</v>
      </c>
      <c r="B5" s="19" t="s">
        <v>4934</v>
      </c>
      <c r="C5" s="19" t="s">
        <v>4935</v>
      </c>
      <c r="D5" s="19" t="s">
        <v>4936</v>
      </c>
      <c r="E5" s="19" t="s">
        <v>4923</v>
      </c>
    </row>
    <row r="6" customFormat="false" ht="15" hidden="false" customHeight="false" outlineLevel="0" collapsed="false">
      <c r="A6" s="19" t="s">
        <v>4937</v>
      </c>
      <c r="B6" s="19" t="s">
        <v>4938</v>
      </c>
      <c r="C6" s="19" t="s">
        <v>4939</v>
      </c>
      <c r="D6" s="19" t="s">
        <v>4940</v>
      </c>
      <c r="E6" s="19" t="s">
        <v>4941</v>
      </c>
    </row>
    <row r="7" customFormat="false" ht="32.8" hidden="false" customHeight="false" outlineLevel="0" collapsed="false">
      <c r="A7" s="19" t="s">
        <v>4942</v>
      </c>
      <c r="B7" s="19" t="s">
        <v>4943</v>
      </c>
      <c r="C7" s="19" t="s">
        <v>4944</v>
      </c>
      <c r="D7" s="19" t="s">
        <v>4945</v>
      </c>
      <c r="E7" s="19" t="s">
        <v>4941</v>
      </c>
    </row>
    <row r="8" customFormat="false" ht="15" hidden="false" customHeight="false" outlineLevel="0" collapsed="false">
      <c r="A8" s="19" t="s">
        <v>4946</v>
      </c>
      <c r="B8" s="19" t="s">
        <v>4947</v>
      </c>
      <c r="C8" s="19" t="s">
        <v>4948</v>
      </c>
      <c r="D8" s="19" t="s">
        <v>4949</v>
      </c>
      <c r="E8" s="19" t="s">
        <v>4923</v>
      </c>
    </row>
    <row r="9" customFormat="false" ht="22.35" hidden="false" customHeight="false" outlineLevel="0" collapsed="false">
      <c r="A9" s="19" t="s">
        <v>4950</v>
      </c>
      <c r="B9" s="19" t="s">
        <v>4951</v>
      </c>
      <c r="C9" s="19" t="s">
        <v>4952</v>
      </c>
      <c r="D9" s="19" t="s">
        <v>4953</v>
      </c>
      <c r="E9" s="19" t="s">
        <v>4923</v>
      </c>
    </row>
    <row r="10" customFormat="false" ht="15" hidden="false" customHeight="false" outlineLevel="0" collapsed="false">
      <c r="A10" s="19" t="s">
        <v>4954</v>
      </c>
      <c r="B10" s="19" t="s">
        <v>4955</v>
      </c>
      <c r="C10" s="19" t="s">
        <v>4952</v>
      </c>
      <c r="D10" s="19" t="s">
        <v>4956</v>
      </c>
      <c r="E10" s="19" t="s">
        <v>4923</v>
      </c>
    </row>
    <row r="11" customFormat="false" ht="15" hidden="false" customHeight="false" outlineLevel="0" collapsed="false">
      <c r="A11" s="19" t="s">
        <v>4957</v>
      </c>
      <c r="B11" s="19" t="s">
        <v>4958</v>
      </c>
      <c r="C11" s="19" t="s">
        <v>4952</v>
      </c>
      <c r="D11" s="19" t="s">
        <v>4959</v>
      </c>
      <c r="E11" s="19" t="s">
        <v>4923</v>
      </c>
    </row>
    <row r="12" customFormat="false" ht="15" hidden="false" customHeight="false" outlineLevel="0" collapsed="false">
      <c r="A12" s="19" t="s">
        <v>4960</v>
      </c>
      <c r="B12" s="19" t="s">
        <v>4961</v>
      </c>
      <c r="C12" s="19" t="s">
        <v>4952</v>
      </c>
      <c r="D12" s="19" t="s">
        <v>4962</v>
      </c>
      <c r="E12" s="19" t="s">
        <v>4923</v>
      </c>
    </row>
    <row r="13" customFormat="false" ht="22.35" hidden="false" customHeight="false" outlineLevel="0" collapsed="false">
      <c r="A13" s="19" t="s">
        <v>4963</v>
      </c>
      <c r="B13" s="19" t="s">
        <v>4964</v>
      </c>
      <c r="C13" s="19" t="s">
        <v>4965</v>
      </c>
      <c r="D13" s="19" t="s">
        <v>4966</v>
      </c>
      <c r="E13" s="19" t="s">
        <v>4967</v>
      </c>
    </row>
    <row r="14" customFormat="false" ht="15" hidden="false" customHeight="false" outlineLevel="0" collapsed="false">
      <c r="A14" s="19" t="s">
        <v>4968</v>
      </c>
      <c r="B14" s="19" t="s">
        <v>4969</v>
      </c>
      <c r="C14" s="19" t="s">
        <v>4970</v>
      </c>
      <c r="D14" s="19" t="s">
        <v>4971</v>
      </c>
      <c r="E14" s="19" t="s">
        <v>4972</v>
      </c>
    </row>
    <row r="15" customFormat="false" ht="15" hidden="false" customHeight="false" outlineLevel="0" collapsed="false">
      <c r="A15" s="19" t="s">
        <v>4973</v>
      </c>
      <c r="B15" s="19" t="s">
        <v>4974</v>
      </c>
      <c r="C15" s="19" t="s">
        <v>4975</v>
      </c>
      <c r="D15" s="19" t="s">
        <v>4976</v>
      </c>
      <c r="E15" s="19" t="s">
        <v>4977</v>
      </c>
    </row>
  </sheetData>
  <autoFilter ref="A1:E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0"/>
    <col collapsed="false" customWidth="true" hidden="false" outlineLevel="0" max="3" min="3" style="0" width="50"/>
  </cols>
  <sheetData>
    <row r="1" customFormat="false" ht="17.35" hidden="false" customHeight="false" outlineLevel="0" collapsed="false">
      <c r="A1" s="1" t="s">
        <v>4978</v>
      </c>
    </row>
    <row r="2" customFormat="false" ht="15" hidden="false" customHeight="false" outlineLevel="0" collapsed="false">
      <c r="A2" s="31" t="s">
        <v>4979</v>
      </c>
      <c r="B2" s="31" t="s">
        <v>4980</v>
      </c>
      <c r="C2" s="31" t="s">
        <v>4981</v>
      </c>
    </row>
    <row r="3" customFormat="false" ht="15" hidden="false" customHeight="false" outlineLevel="0" collapsed="false">
      <c r="A3" s="4" t="s">
        <v>4982</v>
      </c>
      <c r="B3" s="2" t="n">
        <f aca="false">COUNTA('Agent Roster'!A2:A113)</f>
        <v>112</v>
      </c>
      <c r="C3" s="4" t="s">
        <v>51</v>
      </c>
    </row>
    <row r="4" customFormat="false" ht="15" hidden="false" customHeight="false" outlineLevel="0" collapsed="false">
      <c r="A4" s="4" t="s">
        <v>4983</v>
      </c>
      <c r="B4" s="2" t="n">
        <f aca="false">COUNTIF('Agent Roster'!T2:T113,0)</f>
        <v>0</v>
      </c>
      <c r="C4" s="4" t="s">
        <v>4984</v>
      </c>
    </row>
    <row r="5" customFormat="false" ht="15" hidden="false" customHeight="false" outlineLevel="0" collapsed="false">
      <c r="A5" s="4" t="s">
        <v>23</v>
      </c>
      <c r="B5" s="2" t="n">
        <f aca="false">COUNTA(Responsibilities!A2:A957)</f>
        <v>956</v>
      </c>
      <c r="C5" s="4" t="s">
        <v>51</v>
      </c>
    </row>
    <row r="6" customFormat="false" ht="15" hidden="false" customHeight="false" outlineLevel="0" collapsed="false">
      <c r="A6" s="4" t="s">
        <v>4985</v>
      </c>
      <c r="B6" s="2" t="n">
        <f aca="false">COUNTIF(Responsibilities!C2:C957,"UNASSIGNED")</f>
        <v>0</v>
      </c>
      <c r="C6" s="4" t="s">
        <v>4984</v>
      </c>
    </row>
    <row r="7" customFormat="false" ht="15" hidden="false" customHeight="false" outlineLevel="0" collapsed="false">
      <c r="A7" s="4" t="s">
        <v>4986</v>
      </c>
      <c r="B7" s="2" t="n">
        <f aca="false">COUNTA('Algorithm Coverage'!A2:A78)</f>
        <v>77</v>
      </c>
      <c r="C7" s="4" t="s">
        <v>4987</v>
      </c>
    </row>
    <row r="8" customFormat="false" ht="15" hidden="false" customHeight="false" outlineLevel="0" collapsed="false">
      <c r="A8" s="4" t="s">
        <v>4988</v>
      </c>
      <c r="B8" s="2" t="n">
        <f aca="false">SUM('Algorithm Coverage'!C2:C78)</f>
        <v>662</v>
      </c>
      <c r="C8" s="4" t="s">
        <v>51</v>
      </c>
    </row>
    <row r="9" customFormat="false" ht="15" hidden="false" customHeight="false" outlineLevel="0" collapsed="false">
      <c r="A9" s="4" t="s">
        <v>4989</v>
      </c>
      <c r="B9" s="2" t="n">
        <f aca="false">SUM('Algorithm Coverage'!E2:E78)</f>
        <v>0</v>
      </c>
      <c r="C9" s="4" t="s">
        <v>4984</v>
      </c>
    </row>
    <row r="10" customFormat="false" ht="15" hidden="false" customHeight="false" outlineLevel="0" collapsed="false">
      <c r="A10" s="4" t="s">
        <v>4990</v>
      </c>
      <c r="B10" s="2" t="n">
        <f aca="false">COUNTIF('Canon Element Coverage'!G2:G183,"GAP")</f>
        <v>0</v>
      </c>
      <c r="C10" s="4" t="s">
        <v>4984</v>
      </c>
    </row>
    <row r="11" customFormat="false" ht="15" hidden="false" customHeight="false" outlineLevel="0" collapsed="false">
      <c r="A11" s="4" t="s">
        <v>4991</v>
      </c>
      <c r="B11" s="2" t="n">
        <f aca="false">COUNTIF(Workflows!E2:E109,"(group / any)")</f>
        <v>3</v>
      </c>
      <c r="C11" s="4" t="s">
        <v>4992</v>
      </c>
    </row>
    <row r="12" customFormat="false" ht="15" hidden="false" customHeight="false" outlineLevel="0" collapsed="false">
      <c r="A12" s="2" t="s">
        <v>4993</v>
      </c>
      <c r="B12" s="32" t="str">
        <f aca="false">IF(AND(B4=0,B6=0,B9=0,B10=0),"NO GAPS — every responsibility owned, every agent active, every canon step mapped","GAPS FOUND — see red cells")</f>
        <v>NO GAPS — every responsibility owned, every agent active, every canon step mapped</v>
      </c>
    </row>
    <row r="14" customFormat="false" ht="15" hidden="false" customHeight="false" outlineLevel="0" collapsed="false">
      <c r="A14" s="2" t="s">
        <v>4994</v>
      </c>
    </row>
    <row r="15" customFormat="false" ht="15" hidden="false" customHeight="false" outlineLevel="0" collapsed="false">
      <c r="A15" s="4" t="s">
        <v>4995</v>
      </c>
      <c r="B15" s="4" t="n">
        <f aca="false">COUNTIF('Agent Roster'!C2:C113,"0*")</f>
        <v>8</v>
      </c>
    </row>
    <row r="16" customFormat="false" ht="15" hidden="false" customHeight="false" outlineLevel="0" collapsed="false">
      <c r="A16" s="4" t="s">
        <v>4996</v>
      </c>
      <c r="B16" s="4" t="n">
        <f aca="false">COUNTIF('Agent Roster'!C2:C113,"1*")</f>
        <v>22</v>
      </c>
    </row>
    <row r="17" customFormat="false" ht="15" hidden="false" customHeight="false" outlineLevel="0" collapsed="false">
      <c r="A17" s="4" t="s">
        <v>4997</v>
      </c>
      <c r="B17" s="4" t="n">
        <f aca="false">COUNTIF('Agent Roster'!C2:C113,"2*")</f>
        <v>9</v>
      </c>
    </row>
    <row r="18" customFormat="false" ht="15" hidden="false" customHeight="false" outlineLevel="0" collapsed="false">
      <c r="A18" s="4" t="s">
        <v>4998</v>
      </c>
      <c r="B18" s="4" t="n">
        <f aca="false">COUNTIF('Agent Roster'!C2:C113,"3*")</f>
        <v>73</v>
      </c>
    </row>
    <row r="20" customFormat="false" ht="15" hidden="false" customHeight="false" outlineLevel="0" collapsed="false">
      <c r="A20" s="2" t="s">
        <v>4999</v>
      </c>
    </row>
    <row r="21" customFormat="false" ht="15" hidden="false" customHeight="false" outlineLevel="0" collapsed="false">
      <c r="A21" s="4" t="s">
        <v>5000</v>
      </c>
      <c r="B21" s="4" t="n">
        <f aca="false">COUNTIF('Agent Roster'!Q2:Q113,"A")</f>
        <v>49</v>
      </c>
    </row>
    <row r="22" customFormat="false" ht="15" hidden="false" customHeight="false" outlineLevel="0" collapsed="false">
      <c r="A22" s="4" t="s">
        <v>5001</v>
      </c>
      <c r="B22" s="4" t="n">
        <f aca="false">COUNTIF('Agent Roster'!Q2:Q113,"H")</f>
        <v>52</v>
      </c>
    </row>
    <row r="23" customFormat="false" ht="15" hidden="false" customHeight="false" outlineLevel="0" collapsed="false">
      <c r="A23" s="4" t="s">
        <v>5002</v>
      </c>
      <c r="B23" s="4" t="n">
        <f aca="false">COUNTIF('Agent Roster'!Q2:Q113,"L")</f>
        <v>10</v>
      </c>
    </row>
    <row r="24" customFormat="false" ht="15" hidden="false" customHeight="false" outlineLevel="0" collapsed="false">
      <c r="A24" s="4" t="s">
        <v>5003</v>
      </c>
      <c r="B24" s="4" t="n">
        <f aca="false">COUNTIF('Agent Roster'!Q2:Q113,"R")</f>
        <v>1</v>
      </c>
    </row>
    <row r="26" customFormat="false" ht="15" hidden="false" customHeight="false" outlineLevel="0" collapsed="false">
      <c r="A26" s="2" t="s">
        <v>5004</v>
      </c>
    </row>
    <row r="27" customFormat="false" ht="15" hidden="false" customHeight="false" outlineLevel="0" collapsed="false">
      <c r="A27" s="4" t="s">
        <v>50</v>
      </c>
      <c r="B27" s="4" t="n">
        <f aca="false">COUNTIF(Responsibilities!D2:D957,A27)</f>
        <v>188</v>
      </c>
    </row>
    <row r="28" customFormat="false" ht="15" hidden="false" customHeight="false" outlineLevel="0" collapsed="false">
      <c r="A28" s="4" t="s">
        <v>152</v>
      </c>
      <c r="B28" s="4" t="n">
        <f aca="false">COUNTIF(Responsibilities!D2:D957,A28)</f>
        <v>276</v>
      </c>
    </row>
    <row r="29" customFormat="false" ht="15" hidden="false" customHeight="false" outlineLevel="0" collapsed="false">
      <c r="A29" s="4" t="s">
        <v>391</v>
      </c>
      <c r="B29" s="4" t="n">
        <f aca="false">COUNTIF(Responsibilities!D2:D957,A29)</f>
        <v>55</v>
      </c>
    </row>
    <row r="30" customFormat="false" ht="15" hidden="false" customHeight="false" outlineLevel="0" collapsed="false">
      <c r="A30" s="4" t="s">
        <v>478</v>
      </c>
      <c r="B30" s="4" t="n">
        <f aca="false">COUNTIF(Responsibilities!D2:D957,A30)</f>
        <v>37</v>
      </c>
    </row>
    <row r="31" customFormat="false" ht="15" hidden="false" customHeight="false" outlineLevel="0" collapsed="false">
      <c r="A31" s="4" t="s">
        <v>559</v>
      </c>
      <c r="B31" s="4" t="n">
        <f aca="false">COUNTIF(Responsibilities!D2:D957,A31)</f>
        <v>80</v>
      </c>
    </row>
    <row r="32" customFormat="false" ht="15" hidden="false" customHeight="false" outlineLevel="0" collapsed="false">
      <c r="A32" s="4" t="s">
        <v>698</v>
      </c>
      <c r="B32" s="4" t="n">
        <f aca="false">COUNTIF(Responsibilities!D2:D957,A32)</f>
        <v>32</v>
      </c>
    </row>
    <row r="33" customFormat="false" ht="15" hidden="false" customHeight="false" outlineLevel="0" collapsed="false">
      <c r="A33" s="4" t="s">
        <v>766</v>
      </c>
      <c r="B33" s="4" t="n">
        <f aca="false">COUNTIF(Responsibilities!D2:D957,A33)</f>
        <v>34</v>
      </c>
    </row>
    <row r="34" customFormat="false" ht="15" hidden="false" customHeight="false" outlineLevel="0" collapsed="false">
      <c r="A34" s="4" t="s">
        <v>853</v>
      </c>
      <c r="B34" s="4" t="n">
        <f aca="false">COUNTIF(Responsibilities!D2:D957,A34)</f>
        <v>81</v>
      </c>
    </row>
    <row r="35" customFormat="false" ht="15" hidden="false" customHeight="false" outlineLevel="0" collapsed="false">
      <c r="A35" s="4" t="s">
        <v>978</v>
      </c>
      <c r="B35" s="4" t="n">
        <f aca="false">COUNTIF(Responsibilities!D2:D957,A35)</f>
        <v>39</v>
      </c>
    </row>
    <row r="36" customFormat="false" ht="15" hidden="false" customHeight="false" outlineLevel="0" collapsed="false">
      <c r="A36" s="4" t="s">
        <v>1076</v>
      </c>
      <c r="B36" s="4" t="n">
        <f aca="false">COUNTIF(Responsibilities!D2:D957,A36)</f>
        <v>61</v>
      </c>
    </row>
    <row r="37" customFormat="false" ht="15" hidden="false" customHeight="false" outlineLevel="0" collapsed="false">
      <c r="A37" s="4" t="s">
        <v>1204</v>
      </c>
      <c r="B37" s="4" t="n">
        <f aca="false">COUNTIF(Responsibilities!D2:D957,A37)</f>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2026-10-07T13:46:57Z</dcterms:created>
  <dc:creator>openpyxl</dc:creator>
  <dc:description/>
  <dc:language>en-US</dc:language>
  <cp:lastModifiedBy/>
  <dcterms:modified xsi:type="dcterms:W3CDTF">2026-10-07T13:46:58Z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